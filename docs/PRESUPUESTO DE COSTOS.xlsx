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antigoso\Desktop\"/>
    </mc:Choice>
  </mc:AlternateContent>
  <xr:revisionPtr revIDLastSave="0" documentId="13_ncr:1_{FC48B66F-32C8-4CB2-94C9-9D76BE768CF8}" xr6:coauthVersionLast="47" xr6:coauthVersionMax="47" xr10:uidLastSave="{00000000-0000-0000-0000-000000000000}"/>
  <bookViews>
    <workbookView xWindow="-120" yWindow="-120" windowWidth="20730" windowHeight="11040" activeTab="3" xr2:uid="{E46C50AC-42D4-4940-A527-34E308A873D1}"/>
  </bookViews>
  <sheets>
    <sheet name="GASTOS PLANIFICADOS" sheetId="1" r:id="rId1"/>
    <sheet name="GASTOS REALES" sheetId="3" r:id="rId2"/>
    <sheet name="DESVIACION DE GASTOS" sheetId="4" r:id="rId3"/>
    <sheet name="ANALISIS DE GASTOS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N3" i="4" s="1"/>
  <c r="N10" i="4" s="1"/>
  <c r="D2" i="2" s="1"/>
  <c r="K66" i="4"/>
  <c r="J66" i="4"/>
  <c r="F13" i="4"/>
  <c r="G13" i="4"/>
  <c r="H13" i="4"/>
  <c r="H21" i="4" s="1"/>
  <c r="H31" i="4" s="1"/>
  <c r="I13" i="4"/>
  <c r="I21" i="4" s="1"/>
  <c r="I31" i="4" s="1"/>
  <c r="J13" i="4"/>
  <c r="K13" i="4"/>
  <c r="L13" i="4"/>
  <c r="L21" i="4" s="1"/>
  <c r="L31" i="4" s="1"/>
  <c r="M13" i="4"/>
  <c r="M21" i="4" s="1"/>
  <c r="M31" i="4" s="1"/>
  <c r="F14" i="4"/>
  <c r="G14" i="4"/>
  <c r="H14" i="4"/>
  <c r="I14" i="4"/>
  <c r="J14" i="4"/>
  <c r="K14" i="4"/>
  <c r="L14" i="4"/>
  <c r="M14" i="4"/>
  <c r="F15" i="4"/>
  <c r="G15" i="4"/>
  <c r="H15" i="4"/>
  <c r="I15" i="4"/>
  <c r="J15" i="4"/>
  <c r="K15" i="4"/>
  <c r="L15" i="4"/>
  <c r="M15" i="4"/>
  <c r="F16" i="4"/>
  <c r="G16" i="4"/>
  <c r="H16" i="4"/>
  <c r="I16" i="4"/>
  <c r="J16" i="4"/>
  <c r="K16" i="4"/>
  <c r="L16" i="4"/>
  <c r="M16" i="4"/>
  <c r="F17" i="4"/>
  <c r="G17" i="4"/>
  <c r="H17" i="4"/>
  <c r="I17" i="4"/>
  <c r="J17" i="4"/>
  <c r="K17" i="4"/>
  <c r="L17" i="4"/>
  <c r="M17" i="4"/>
  <c r="F18" i="4"/>
  <c r="G18" i="4"/>
  <c r="H18" i="4"/>
  <c r="I18" i="4"/>
  <c r="J18" i="4"/>
  <c r="K18" i="4"/>
  <c r="L18" i="4"/>
  <c r="M18" i="4"/>
  <c r="F19" i="4"/>
  <c r="G19" i="4"/>
  <c r="H19" i="4"/>
  <c r="I19" i="4"/>
  <c r="J19" i="4"/>
  <c r="K19" i="4"/>
  <c r="L19" i="4"/>
  <c r="M19" i="4"/>
  <c r="F20" i="4"/>
  <c r="G20" i="4"/>
  <c r="H20" i="4"/>
  <c r="I20" i="4"/>
  <c r="J20" i="4"/>
  <c r="K20" i="4"/>
  <c r="L20" i="4"/>
  <c r="M20" i="4"/>
  <c r="E14" i="4"/>
  <c r="E15" i="4"/>
  <c r="E16" i="4"/>
  <c r="E17" i="4"/>
  <c r="E18" i="4"/>
  <c r="E19" i="4"/>
  <c r="E20" i="4"/>
  <c r="E13" i="4"/>
  <c r="E21" i="4" s="1"/>
  <c r="M63" i="4"/>
  <c r="L63" i="4"/>
  <c r="K63" i="4"/>
  <c r="J63" i="4"/>
  <c r="I63" i="4"/>
  <c r="H63" i="4"/>
  <c r="G63" i="4"/>
  <c r="F63" i="4"/>
  <c r="E63" i="4"/>
  <c r="D63" i="4"/>
  <c r="C63" i="4"/>
  <c r="B63" i="4"/>
  <c r="N62" i="4"/>
  <c r="N55" i="4"/>
  <c r="N63" i="4" s="1"/>
  <c r="D5" i="2" s="1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N50" i="4"/>
  <c r="N49" i="4"/>
  <c r="N48" i="4"/>
  <c r="N47" i="4"/>
  <c r="N34" i="4"/>
  <c r="M30" i="4"/>
  <c r="L30" i="4"/>
  <c r="K30" i="4"/>
  <c r="J30" i="4"/>
  <c r="I30" i="4"/>
  <c r="H30" i="4"/>
  <c r="G30" i="4"/>
  <c r="F30" i="4"/>
  <c r="E30" i="4"/>
  <c r="N29" i="4"/>
  <c r="N28" i="4"/>
  <c r="N27" i="4"/>
  <c r="N26" i="4"/>
  <c r="N25" i="4"/>
  <c r="N24" i="4"/>
  <c r="N23" i="4"/>
  <c r="K21" i="4"/>
  <c r="K31" i="4" s="1"/>
  <c r="J21" i="4"/>
  <c r="J31" i="4" s="1"/>
  <c r="G21" i="4"/>
  <c r="G31" i="4" s="1"/>
  <c r="F21" i="4"/>
  <c r="F31" i="4" s="1"/>
  <c r="N20" i="4"/>
  <c r="M10" i="4"/>
  <c r="M66" i="4" s="1"/>
  <c r="L10" i="4"/>
  <c r="L66" i="4" s="1"/>
  <c r="K10" i="4"/>
  <c r="J10" i="4"/>
  <c r="I10" i="4"/>
  <c r="I66" i="4" s="1"/>
  <c r="H10" i="4"/>
  <c r="H66" i="4" s="1"/>
  <c r="G10" i="4"/>
  <c r="G66" i="4" s="1"/>
  <c r="F10" i="4"/>
  <c r="F66" i="4" s="1"/>
  <c r="E10" i="4"/>
  <c r="D10" i="4"/>
  <c r="D21" i="4" s="1"/>
  <c r="D30" i="4" s="1"/>
  <c r="C10" i="4"/>
  <c r="C21" i="4" s="1"/>
  <c r="B10" i="4"/>
  <c r="B21" i="4" s="1"/>
  <c r="N9" i="4"/>
  <c r="M63" i="3"/>
  <c r="L63" i="3"/>
  <c r="K63" i="3"/>
  <c r="J63" i="3"/>
  <c r="I63" i="3"/>
  <c r="H63" i="3"/>
  <c r="G63" i="3"/>
  <c r="F63" i="3"/>
  <c r="E63" i="3"/>
  <c r="D63" i="3"/>
  <c r="C63" i="3"/>
  <c r="B63" i="3"/>
  <c r="N62" i="3"/>
  <c r="N63" i="3" s="1"/>
  <c r="N55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N50" i="3"/>
  <c r="N49" i="3"/>
  <c r="N48" i="3"/>
  <c r="N47" i="3"/>
  <c r="N34" i="3"/>
  <c r="L31" i="3"/>
  <c r="H31" i="3"/>
  <c r="M30" i="3"/>
  <c r="L30" i="3"/>
  <c r="K30" i="3"/>
  <c r="J30" i="3"/>
  <c r="I30" i="3"/>
  <c r="H30" i="3"/>
  <c r="G30" i="3"/>
  <c r="F30" i="3"/>
  <c r="E30" i="3"/>
  <c r="N29" i="3"/>
  <c r="N28" i="3"/>
  <c r="N27" i="3"/>
  <c r="N26" i="3"/>
  <c r="N25" i="3"/>
  <c r="N24" i="3"/>
  <c r="N23" i="3"/>
  <c r="M21" i="3"/>
  <c r="M31" i="3" s="1"/>
  <c r="L21" i="3"/>
  <c r="K21" i="3"/>
  <c r="K31" i="3" s="1"/>
  <c r="J21" i="3"/>
  <c r="J31" i="3" s="1"/>
  <c r="I21" i="3"/>
  <c r="I31" i="3" s="1"/>
  <c r="H21" i="3"/>
  <c r="G21" i="3"/>
  <c r="G31" i="3" s="1"/>
  <c r="F21" i="3"/>
  <c r="F31" i="3" s="1"/>
  <c r="E21" i="3"/>
  <c r="E31" i="3" s="1"/>
  <c r="N20" i="3"/>
  <c r="N18" i="3"/>
  <c r="N16" i="3"/>
  <c r="N15" i="3"/>
  <c r="N14" i="3"/>
  <c r="N13" i="3"/>
  <c r="M10" i="3"/>
  <c r="M66" i="3" s="1"/>
  <c r="L10" i="3"/>
  <c r="L66" i="3" s="1"/>
  <c r="K10" i="3"/>
  <c r="K66" i="3" s="1"/>
  <c r="J10" i="3"/>
  <c r="J66" i="3" s="1"/>
  <c r="I10" i="3"/>
  <c r="I66" i="3" s="1"/>
  <c r="H10" i="3"/>
  <c r="H66" i="3" s="1"/>
  <c r="G10" i="3"/>
  <c r="G66" i="3" s="1"/>
  <c r="F10" i="3"/>
  <c r="F66" i="3" s="1"/>
  <c r="E10" i="3"/>
  <c r="D10" i="3"/>
  <c r="D21" i="3" s="1"/>
  <c r="C10" i="3"/>
  <c r="C21" i="3" s="1"/>
  <c r="B10" i="3"/>
  <c r="B21" i="3" s="1"/>
  <c r="B30" i="3" s="1"/>
  <c r="N9" i="3"/>
  <c r="N3" i="3"/>
  <c r="N23" i="1"/>
  <c r="N29" i="1"/>
  <c r="N28" i="1"/>
  <c r="N27" i="1"/>
  <c r="N26" i="1"/>
  <c r="N25" i="1"/>
  <c r="M30" i="1"/>
  <c r="L30" i="1"/>
  <c r="K30" i="1"/>
  <c r="J30" i="1"/>
  <c r="I30" i="1"/>
  <c r="H30" i="1"/>
  <c r="G30" i="1"/>
  <c r="F30" i="1"/>
  <c r="M21" i="1"/>
  <c r="M31" i="1" s="1"/>
  <c r="L21" i="1"/>
  <c r="L31" i="1" s="1"/>
  <c r="K21" i="1"/>
  <c r="K31" i="1" s="1"/>
  <c r="J21" i="1"/>
  <c r="J31" i="1" s="1"/>
  <c r="I21" i="1"/>
  <c r="I31" i="1" s="1"/>
  <c r="H21" i="1"/>
  <c r="H31" i="1" s="1"/>
  <c r="G21" i="1"/>
  <c r="G31" i="1" s="1"/>
  <c r="F21" i="1"/>
  <c r="F31" i="1" s="1"/>
  <c r="E30" i="1"/>
  <c r="E21" i="1"/>
  <c r="E31" i="1" s="1"/>
  <c r="N48" i="1"/>
  <c r="N49" i="1"/>
  <c r="N50" i="1"/>
  <c r="N51" i="1"/>
  <c r="A5" i="2"/>
  <c r="A4" i="2"/>
  <c r="A3" i="2"/>
  <c r="A2" i="2"/>
  <c r="M63" i="1"/>
  <c r="L63" i="1"/>
  <c r="K63" i="1"/>
  <c r="J63" i="1"/>
  <c r="I63" i="1"/>
  <c r="H63" i="1"/>
  <c r="G63" i="1"/>
  <c r="F63" i="1"/>
  <c r="E63" i="1"/>
  <c r="D63" i="1"/>
  <c r="C63" i="1"/>
  <c r="B63" i="1"/>
  <c r="N62" i="1"/>
  <c r="N55" i="1"/>
  <c r="N47" i="1"/>
  <c r="N34" i="1"/>
  <c r="N14" i="1"/>
  <c r="N15" i="1"/>
  <c r="N16" i="1"/>
  <c r="N18" i="1"/>
  <c r="N20" i="1"/>
  <c r="N24" i="1"/>
  <c r="N13" i="1"/>
  <c r="N9" i="1"/>
  <c r="N3" i="1"/>
  <c r="M52" i="1"/>
  <c r="L52" i="1"/>
  <c r="K52" i="1"/>
  <c r="J52" i="1"/>
  <c r="I52" i="1"/>
  <c r="H52" i="1"/>
  <c r="G52" i="1"/>
  <c r="F52" i="1"/>
  <c r="E52" i="1"/>
  <c r="D52" i="1"/>
  <c r="C52" i="1"/>
  <c r="B52" i="1"/>
  <c r="M10" i="1"/>
  <c r="M66" i="1" s="1"/>
  <c r="L10" i="1"/>
  <c r="L66" i="1" s="1"/>
  <c r="K10" i="1"/>
  <c r="K66" i="1" s="1"/>
  <c r="J10" i="1"/>
  <c r="J66" i="1" s="1"/>
  <c r="I10" i="1"/>
  <c r="I66" i="1" s="1"/>
  <c r="H10" i="1"/>
  <c r="H66" i="1" s="1"/>
  <c r="G10" i="1"/>
  <c r="G66" i="1" s="1"/>
  <c r="F10" i="1"/>
  <c r="F66" i="1" s="1"/>
  <c r="E10" i="1"/>
  <c r="D10" i="1"/>
  <c r="D21" i="1" s="1"/>
  <c r="D30" i="1" s="1"/>
  <c r="C10" i="1"/>
  <c r="C21" i="1" s="1"/>
  <c r="C30" i="1" s="1"/>
  <c r="B10" i="1"/>
  <c r="B21" i="1" s="1"/>
  <c r="N52" i="4" l="1"/>
  <c r="D4" i="2" s="1"/>
  <c r="E31" i="4"/>
  <c r="E66" i="3"/>
  <c r="E66" i="4"/>
  <c r="E66" i="1"/>
  <c r="N18" i="4"/>
  <c r="N16" i="4"/>
  <c r="N10" i="3"/>
  <c r="C2" i="2" s="1"/>
  <c r="N13" i="4"/>
  <c r="N15" i="4"/>
  <c r="N14" i="4"/>
  <c r="N52" i="3"/>
  <c r="C4" i="2" s="1"/>
  <c r="B30" i="4"/>
  <c r="B66" i="4" s="1"/>
  <c r="B67" i="4" s="1"/>
  <c r="N21" i="4"/>
  <c r="B31" i="4"/>
  <c r="D66" i="4"/>
  <c r="D31" i="4"/>
  <c r="C30" i="4"/>
  <c r="C31" i="4" s="1"/>
  <c r="D30" i="3"/>
  <c r="D66" i="3" s="1"/>
  <c r="B66" i="3"/>
  <c r="B67" i="3" s="1"/>
  <c r="C30" i="3"/>
  <c r="B31" i="3"/>
  <c r="N21" i="3"/>
  <c r="C31" i="1"/>
  <c r="D31" i="1"/>
  <c r="N21" i="1"/>
  <c r="B30" i="1"/>
  <c r="N52" i="1"/>
  <c r="B4" i="2" s="1"/>
  <c r="E4" i="2" s="1"/>
  <c r="N10" i="1"/>
  <c r="B2" i="2" s="1"/>
  <c r="N63" i="1"/>
  <c r="C66" i="1"/>
  <c r="D66" i="1"/>
  <c r="E2" i="2" l="1"/>
  <c r="C66" i="4"/>
  <c r="C67" i="4"/>
  <c r="D67" i="4" s="1"/>
  <c r="E67" i="4"/>
  <c r="F67" i="4" s="1"/>
  <c r="G67" i="4" s="1"/>
  <c r="H67" i="4" s="1"/>
  <c r="I67" i="4" s="1"/>
  <c r="J67" i="4" s="1"/>
  <c r="K67" i="4" s="1"/>
  <c r="L67" i="4" s="1"/>
  <c r="M67" i="4" s="1"/>
  <c r="N67" i="4" s="1"/>
  <c r="B5" i="2"/>
  <c r="C5" i="2"/>
  <c r="E5" i="2" s="1"/>
  <c r="D31" i="3"/>
  <c r="N30" i="3"/>
  <c r="N31" i="3" s="1"/>
  <c r="C3" i="2" s="1"/>
  <c r="C6" i="2" s="1"/>
  <c r="N30" i="4"/>
  <c r="N31" i="4" s="1"/>
  <c r="D3" i="2" s="1"/>
  <c r="C66" i="3"/>
  <c r="C67" i="3" s="1"/>
  <c r="D67" i="3" s="1"/>
  <c r="E67" i="3" s="1"/>
  <c r="F67" i="3" s="1"/>
  <c r="G67" i="3" s="1"/>
  <c r="H67" i="3" s="1"/>
  <c r="I67" i="3" s="1"/>
  <c r="J67" i="3" s="1"/>
  <c r="K67" i="3" s="1"/>
  <c r="L67" i="3" s="1"/>
  <c r="M67" i="3" s="1"/>
  <c r="N67" i="3" s="1"/>
  <c r="C31" i="3"/>
  <c r="N30" i="1"/>
  <c r="B3" i="2" s="1"/>
  <c r="B6" i="2" s="1"/>
  <c r="B31" i="1"/>
  <c r="B66" i="1"/>
  <c r="B67" i="1" s="1"/>
  <c r="C67" i="1" s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N31" i="1" l="1"/>
  <c r="E3" i="2"/>
  <c r="E6" i="2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Eduardo Pantigoso Palacios</author>
  </authors>
  <commentList>
    <comment ref="A2" authorId="0" shapeId="0" xr:uid="{3A792398-B083-4282-B8E4-D3701E2CC14D}">
      <text>
        <r>
          <rPr>
            <b/>
            <sz val="9"/>
            <color indexed="81"/>
            <rFont val="Tahoma"/>
            <family val="2"/>
          </rPr>
          <t>Descripción: Agrupa todos los costos involucrados directamente en la fabricación de un producto o la ejecución del servicio principal de la empresa.
Detalle de gastos: Materia prima, mano de obra directa, mantenimiento de maquinaria, depreciación de equipos de planta, insumos de fabricación y control de calidad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AEF3DF7F-927C-4ED9-9B50-B2C43EB99F70}">
      <text>
        <r>
          <rPr>
            <b/>
            <sz val="9"/>
            <color indexed="81"/>
            <rFont val="Tahoma"/>
            <family val="2"/>
          </rPr>
          <t>Descripción: Concentra las inversiones y gastos destinados a la promoción, distribución y venta de los productos.
Detalle de gastos: Salarios y comisiones del equipo de ventas, campañas publicitarias, eventos promocionales, material de marketing, investigación de mercado y costos de logística de entrega</t>
        </r>
      </text>
    </comment>
    <comment ref="A22" authorId="0" shapeId="0" xr:uid="{9898F758-CD60-49A7-8EB7-2EFA56E1E957}">
      <text>
        <r>
          <rPr>
            <b/>
            <sz val="9"/>
            <color indexed="81"/>
            <rFont val="Tahoma"/>
            <family val="2"/>
          </rPr>
          <t>Descripción: Concentra las inversiones y gastos destinados a la promoción, distribución y venta de los productos.
Detalle de gastos: Salarios y comisiones del equipo de ventas, campañas publicitarias, eventos promocionales, material de marketing, investigación de mercado y costos de logística de entrega</t>
        </r>
      </text>
    </comment>
    <comment ref="A33" authorId="0" shapeId="0" xr:uid="{370147B6-7AE3-4C51-AC26-DB385F93DB1B}">
      <text>
        <r>
          <rPr>
            <b/>
            <sz val="9"/>
            <color indexed="81"/>
            <rFont val="Tahoma"/>
            <family val="2"/>
          </rPr>
          <t>Descripción: Incluye las áreas de soporte y dirección que mantienen en marcha a la empresa en su conjunto.
Detalle de gastos: Sueldos de gerencia, administración y recursos humanos, alquiler de oficinas generales, suministros de papelería, servicios básicos (agua, luz, internet), seguros y honorarios legales o contables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" authorId="0" shapeId="0" xr:uid="{3D4461BC-C6B5-42CF-A13D-CAB981F2CC3C}">
      <text>
        <r>
          <rPr>
            <b/>
            <sz val="9"/>
            <color indexed="81"/>
            <rFont val="Tahoma"/>
            <family val="2"/>
          </rPr>
          <t>Descripción: Agrupa las unidades que proveen asistencia técnica o interna para que los demás departamentos operen sin interrupciones.
Detalle de gastos: Gastos del departamento de TI (licencias de software, servidores, soporte técnico), área de limpieza/seguridad, mantenimiento de edificios e instalaciones y movilidad corporativa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Eduardo Pantigoso Palacios</author>
  </authors>
  <commentList>
    <comment ref="A2" authorId="0" shapeId="0" xr:uid="{D3D6007E-2E5F-4DE6-B84F-CE9882F6993A}">
      <text>
        <r>
          <rPr>
            <b/>
            <sz val="9"/>
            <color indexed="81"/>
            <rFont val="Tahoma"/>
            <family val="2"/>
          </rPr>
          <t>Descripción: Agrupa todos los costos involucrados directamente en la fabricación de un producto o la ejecución del servicio principal de la empresa.
Detalle de gastos: Materia prima, mano de obra directa, mantenimiento de maquinaria, depreciación de equipos de planta, insumos de fabricación y control de calidad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B573FE87-D771-41D0-9432-847EE081CAED}">
      <text>
        <r>
          <rPr>
            <b/>
            <sz val="9"/>
            <color indexed="81"/>
            <rFont val="Tahoma"/>
            <family val="2"/>
          </rPr>
          <t>Descripción: Concentra las inversiones y gastos destinados a la promoción, distribución y venta de los productos.
Detalle de gastos: Salarios y comisiones del equipo de ventas, campañas publicitarias, eventos promocionales, material de marketing, investigación de mercado y costos de logística de entrega</t>
        </r>
      </text>
    </comment>
    <comment ref="A22" authorId="0" shapeId="0" xr:uid="{893CD435-13BD-4983-9002-FB6D29238D06}">
      <text>
        <r>
          <rPr>
            <b/>
            <sz val="9"/>
            <color indexed="81"/>
            <rFont val="Tahoma"/>
            <family val="2"/>
          </rPr>
          <t>Descripción: Concentra las inversiones y gastos destinados a la promoción, distribución y venta de los productos.
Detalle de gastos: Salarios y comisiones del equipo de ventas, campañas publicitarias, eventos promocionales, material de marketing, investigación de mercado y costos de logística de entrega</t>
        </r>
      </text>
    </comment>
    <comment ref="A33" authorId="0" shapeId="0" xr:uid="{035FB5D1-4C70-44D8-9D2C-59477D281AA7}">
      <text>
        <r>
          <rPr>
            <b/>
            <sz val="9"/>
            <color indexed="81"/>
            <rFont val="Tahoma"/>
            <family val="2"/>
          </rPr>
          <t>Descripción: Incluye las áreas de soporte y dirección que mantienen en marcha a la empresa en su conjunto.
Detalle de gastos: Sueldos de gerencia, administración y recursos humanos, alquiler de oficinas generales, suministros de papelería, servicios básicos (agua, luz, internet), seguros y honorarios legales o contables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" authorId="0" shapeId="0" xr:uid="{8B9E1EA6-BEB3-4519-9952-3E8A7E54B36E}">
      <text>
        <r>
          <rPr>
            <b/>
            <sz val="9"/>
            <color indexed="81"/>
            <rFont val="Tahoma"/>
            <family val="2"/>
          </rPr>
          <t>Descripción: Agrupa las unidades que proveen asistencia técnica o interna para que los demás departamentos operen sin interrupciones.
Detalle de gastos: Gastos del departamento de TI (licencias de software, servidores, soporte técnico), área de limpieza/seguridad, mantenimiento de edificios e instalaciones y movilidad corporativa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Eduardo Pantigoso Palacios</author>
  </authors>
  <commentList>
    <comment ref="A2" authorId="0" shapeId="0" xr:uid="{5DDAF69D-010D-4786-A7FA-446AFA0C209D}">
      <text>
        <r>
          <rPr>
            <b/>
            <sz val="9"/>
            <color indexed="81"/>
            <rFont val="Tahoma"/>
            <family val="2"/>
          </rPr>
          <t>Descripción: Agrupa todos los costos involucrados directamente en la fabricación de un producto o la ejecución del servicio principal de la empresa.
Detalle de gastos: Materia prima, mano de obra directa, mantenimiento de maquinaria, depreciación de equipos de planta, insumos de fabricación y control de calidad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81EACD7A-A1AD-4B9E-901F-9FADB607AEB1}">
      <text>
        <r>
          <rPr>
            <b/>
            <sz val="9"/>
            <color indexed="81"/>
            <rFont val="Tahoma"/>
            <family val="2"/>
          </rPr>
          <t>Descripción: Concentra las inversiones y gastos destinados a la promoción, distribución y venta de los productos.
Detalle de gastos: Salarios y comisiones del equipo de ventas, campañas publicitarias, eventos promocionales, material de marketing, investigación de mercado y costos de logística de entrega</t>
        </r>
      </text>
    </comment>
    <comment ref="A22" authorId="0" shapeId="0" xr:uid="{DF3C61C8-50FA-4E43-8CEA-C71E13C006F5}">
      <text>
        <r>
          <rPr>
            <b/>
            <sz val="9"/>
            <color indexed="81"/>
            <rFont val="Tahoma"/>
            <family val="2"/>
          </rPr>
          <t>Descripción: Concentra las inversiones y gastos destinados a la promoción, distribución y venta de los productos.
Detalle de gastos: Salarios y comisiones del equipo de ventas, campañas publicitarias, eventos promocionales, material de marketing, investigación de mercado y costos de logística de entrega</t>
        </r>
      </text>
    </comment>
    <comment ref="A33" authorId="0" shapeId="0" xr:uid="{34DD9DBF-664B-40A8-9937-ABD32C7FC48E}">
      <text>
        <r>
          <rPr>
            <b/>
            <sz val="9"/>
            <color indexed="81"/>
            <rFont val="Tahoma"/>
            <family val="2"/>
          </rPr>
          <t>Descripción: Incluye las áreas de soporte y dirección que mantienen en marcha a la empresa en su conjunto.
Detalle de gastos: Sueldos de gerencia, administración y recursos humanos, alquiler de oficinas generales, suministros de papelería, servicios básicos (agua, luz, internet), seguros y honorarios legales o contables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4" authorId="0" shapeId="0" xr:uid="{AD54C3F2-7DA3-4D02-8B3F-6FBD7C672785}">
      <text>
        <r>
          <rPr>
            <b/>
            <sz val="9"/>
            <color indexed="81"/>
            <rFont val="Tahoma"/>
            <family val="2"/>
          </rPr>
          <t>Descripción: Agrupa las unidades que proveen asistencia técnica o interna para que los demás departamentos operen sin interrupciones.
Detalle de gastos: Gastos del departamento de TI (licencias de software, servidores, soporte técnico), área de limpieza/seguridad, mantenimiento de edificios e instalaciones y movilidad corporativa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<sst xmlns="http://schemas.openxmlformats.org/spreadsheetml/2006/main" count="435" uniqueCount="77">
  <si>
    <t>GASTOS PLANIFICADOS</t>
  </si>
  <si>
    <t>ENE</t>
  </si>
  <si>
    <t>FEB</t>
  </si>
  <si>
    <t>MAR</t>
  </si>
  <si>
    <t>Ene</t>
  </si>
  <si>
    <t>Feb</t>
  </si>
  <si>
    <t>Mar</t>
  </si>
  <si>
    <t>Salarios</t>
  </si>
  <si>
    <t>Beneficios</t>
  </si>
  <si>
    <t>Subtotal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</si>
  <si>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</si>
  <si>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</si>
  <si>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</si>
  <si>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</si>
  <si>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</si>
  <si>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</si>
  <si>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</si>
  <si>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</si>
  <si>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</si>
  <si>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AÑO</t>
  </si>
  <si>
    <t>Abr</t>
  </si>
  <si>
    <t>Mayo</t>
  </si>
  <si>
    <t>Jun</t>
  </si>
  <si>
    <t>Jul</t>
  </si>
  <si>
    <t>Ago</t>
  </si>
  <si>
    <t>Sep</t>
  </si>
  <si>
    <t>Oct</t>
  </si>
  <si>
    <t>Nov</t>
  </si>
  <si>
    <t>Dic</t>
  </si>
  <si>
    <t>Agua</t>
  </si>
  <si>
    <t>Cursos de aprendizaje</t>
  </si>
  <si>
    <t>Costos de viajes de aprendizaje</t>
  </si>
  <si>
    <t>TOTALES</t>
  </si>
  <si>
    <t>May</t>
  </si>
  <si>
    <t>Año</t>
  </si>
  <si>
    <t>Gastos planificados mensuales</t>
  </si>
  <si>
    <t>Gastos planificados TOTALES</t>
  </si>
  <si>
    <t>Centro de Costos de Producción / Operaciones</t>
  </si>
  <si>
    <t>Centro de Costos Administrativos (Generales)</t>
  </si>
  <si>
    <t>Centro de Costos de Servicios / Soporte</t>
  </si>
  <si>
    <t>Categoría de gastos</t>
  </si>
  <si>
    <t>Gastos planificados</t>
  </si>
  <si>
    <t>Gastos reales</t>
  </si>
  <si>
    <t>Desviaciones de gastos</t>
  </si>
  <si>
    <t>Porcentaje de desviación</t>
  </si>
  <si>
    <t>Sueldo Vendedores</t>
  </si>
  <si>
    <t>Comisiones</t>
  </si>
  <si>
    <t>Viaticos</t>
  </si>
  <si>
    <t>Capacitaciones</t>
  </si>
  <si>
    <t>Facebook Ads</t>
  </si>
  <si>
    <t>Google Ads</t>
  </si>
  <si>
    <t>Produccion audiovisual</t>
  </si>
  <si>
    <t>Merchandising</t>
  </si>
  <si>
    <t>Eventos</t>
  </si>
  <si>
    <t>Regalos Corporativos</t>
  </si>
  <si>
    <t>Movilidad Comercial</t>
  </si>
  <si>
    <t>Telefonia Comercial</t>
  </si>
  <si>
    <t>Sueldo Administrativo</t>
  </si>
  <si>
    <t>Sueldo Gerencia</t>
  </si>
  <si>
    <t>Sueldo Contabilidad</t>
  </si>
  <si>
    <t>RRHH</t>
  </si>
  <si>
    <t>Internet</t>
  </si>
  <si>
    <t>Telefonia</t>
  </si>
  <si>
    <t>Luz</t>
  </si>
  <si>
    <t>Alquiler Local</t>
  </si>
  <si>
    <t>Vigilancia</t>
  </si>
  <si>
    <t>Utiles de Oficina</t>
  </si>
  <si>
    <t>Paleria</t>
  </si>
  <si>
    <t>Impresiones</t>
  </si>
  <si>
    <t>Licencias software</t>
  </si>
  <si>
    <t>Seguros</t>
  </si>
  <si>
    <t>Asesoría legal</t>
  </si>
  <si>
    <t>Impuestos</t>
  </si>
  <si>
    <t xml:space="preserve">Centro de Costos de Ventas </t>
  </si>
  <si>
    <t>Centro de Costos de Marketing</t>
  </si>
  <si>
    <t>Telefonia Ventas</t>
  </si>
  <si>
    <t>Sueldo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</si>
</sst>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S/-280A]\ * #,##0.00_-;\-[$S/-280A]\ * #,##0.00_-;_-[$S/-280A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2F4B83"/>
      <name val="Franklin Gothic Book"/>
      <family val="2"/>
    </font>
    <font>
      <b/>
      <sz val="14"/>
      <color rgb="FFFFFFFF"/>
      <name val="Microsoft Sans Serif"/>
      <family val="2"/>
    </font>
    <font>
      <b/>
      <sz val="9"/>
      <color rgb="FF84C6EA"/>
      <name val="Microsoft Sans Serif"/>
      <family val="2"/>
    </font>
    <font>
      <b/>
      <sz val="10"/>
      <color rgb="FFFFFFFF"/>
      <name val="Microsoft Sans Serif"/>
      <family val="2"/>
    </font>
    <font>
      <sz val="9"/>
      <color rgb="FF000000"/>
      <name val="Microsoft Sans Serif"/>
      <family val="2"/>
    </font>
    <font>
      <b/>
      <sz val="10"/>
      <color rgb="FF000000"/>
      <name val="Microsoft Sans Serif"/>
      <family val="2"/>
    </font>
    <font>
      <b/>
      <sz val="9"/>
      <color rgb="FF000000"/>
      <name val="Microsoft Sans Serif"/>
      <family val="2"/>
    </font>
    <font>
      <sz val="10"/>
      <color rgb="FF000000"/>
      <name val="Microsoft Sans Serif"/>
      <family val="2"/>
    </font>
    <font>
      <b/>
      <i/>
      <sz val="10"/>
      <color rgb="FF000000"/>
      <name val="Microsoft Sans Serif"/>
      <family val="2"/>
    </font>
    <font>
      <sz val="9"/>
      <color rgb="FF404040"/>
      <name val="Microsoft Sans Serif"/>
      <family val="2"/>
    </font>
    <font>
      <b/>
      <sz val="14"/>
      <color rgb="FFFFFFFF"/>
      <name val="Franklin Gothic Book"/>
      <family val="2"/>
    </font>
    <font>
      <b/>
      <sz val="10"/>
      <color rgb="FF172542"/>
      <name val="Franklin Gothic Boo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2F2F2"/>
      <name val="Franklin Gothic Book"/>
      <family val="2"/>
    </font>
    <font>
      <sz val="10"/>
      <color rgb="FFCFEBD0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84C6EA"/>
        <bgColor rgb="FF000000"/>
      </patternFill>
    </fill>
    <fill>
      <patternFill patternType="solid">
        <fgColor rgb="FFCC1D10"/>
        <bgColor rgb="FF000000"/>
      </patternFill>
    </fill>
    <fill>
      <patternFill patternType="solid">
        <fgColor rgb="FF2F4B8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CF8"/>
        <bgColor rgb="FF000000"/>
      </patternFill>
    </fill>
    <fill>
      <patternFill patternType="solid">
        <fgColor rgb="FF357B37"/>
        <bgColor rgb="FF000000"/>
      </patternFill>
    </fill>
    <fill>
      <patternFill patternType="solid">
        <fgColor rgb="FFB71F66"/>
        <bgColor rgb="FF000000"/>
      </patternFill>
    </fill>
    <fill>
      <patternFill patternType="solid">
        <fgColor rgb="FF172542"/>
        <bgColor rgb="FF000000"/>
      </patternFill>
    </fill>
  </fills>
  <borders count="10">
    <border>
      <left/>
      <right/>
      <top/>
      <bottom/>
      <diagonal/>
    </border>
    <border>
      <left style="medium">
        <color rgb="FF84C6EA"/>
      </left>
      <right/>
      <top style="medium">
        <color rgb="FF84C6EA"/>
      </top>
      <bottom/>
      <diagonal/>
    </border>
    <border>
      <left/>
      <right/>
      <top style="medium">
        <color rgb="FF84C6EA"/>
      </top>
      <bottom/>
      <diagonal/>
    </border>
    <border>
      <left style="medium">
        <color rgb="FF84C6EA"/>
      </left>
      <right/>
      <top/>
      <bottom/>
      <diagonal/>
    </border>
    <border>
      <left style="medium">
        <color rgb="FF84C6EA"/>
      </left>
      <right/>
      <top/>
      <bottom style="medium">
        <color rgb="FF84C6EA"/>
      </bottom>
      <diagonal/>
    </border>
    <border>
      <left/>
      <right/>
      <top/>
      <bottom style="medium">
        <color rgb="FF84C6EA"/>
      </bottom>
      <diagonal/>
    </border>
    <border>
      <left/>
      <right style="medium">
        <color rgb="FF84C6EA"/>
      </right>
      <top style="medium">
        <color rgb="FF84C6EA"/>
      </top>
      <bottom/>
      <diagonal/>
    </border>
    <border>
      <left/>
      <right style="medium">
        <color rgb="FF84C6EA"/>
      </right>
      <top/>
      <bottom/>
      <diagonal/>
    </border>
    <border>
      <left style="medium">
        <color rgb="FF84C6EA"/>
      </left>
      <right style="medium">
        <color rgb="FF84C6EA"/>
      </right>
      <top style="medium">
        <color rgb="FF84C6EA"/>
      </top>
      <bottom/>
      <diagonal/>
    </border>
    <border>
      <left style="medium">
        <color rgb="FF84C6EA"/>
      </left>
      <right style="medium">
        <color rgb="FF84C6EA"/>
      </right>
      <top style="medium">
        <color rgb="FF84C6EA"/>
      </top>
      <bottom style="medium">
        <color rgb="FF84C6EA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left" vertical="center" indent="1"/>
    </xf>
    <xf numFmtId="0" fontId="4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3" fillId="7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2" borderId="7" xfId="0" applyFont="1" applyFill="1" applyBorder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7" fillId="6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right"/>
    </xf>
    <xf numFmtId="0" fontId="3" fillId="8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4" fillId="2" borderId="6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left" vertical="center" indent="2"/>
    </xf>
    <xf numFmtId="0" fontId="12" fillId="9" borderId="5" xfId="0" applyFont="1" applyFill="1" applyBorder="1" applyAlignment="1">
      <alignment horizontal="left" vertical="center" indent="1"/>
    </xf>
    <xf numFmtId="0" fontId="13" fillId="9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left" vertical="center" indent="1"/>
    </xf>
    <xf numFmtId="169" fontId="6" fillId="5" borderId="0" xfId="0" applyNumberFormat="1" applyFont="1" applyFill="1" applyAlignment="1">
      <alignment horizontal="right" vertical="center"/>
    </xf>
    <xf numFmtId="169" fontId="8" fillId="6" borderId="7" xfId="0" applyNumberFormat="1" applyFont="1" applyFill="1" applyBorder="1" applyAlignment="1">
      <alignment horizontal="right" vertical="center"/>
    </xf>
    <xf numFmtId="169" fontId="8" fillId="6" borderId="5" xfId="0" applyNumberFormat="1" applyFont="1" applyFill="1" applyBorder="1" applyAlignment="1">
      <alignment horizontal="right" vertical="center"/>
    </xf>
    <xf numFmtId="169" fontId="11" fillId="5" borderId="0" xfId="0" applyNumberFormat="1" applyFont="1" applyFill="1" applyAlignment="1">
      <alignment horizontal="right" vertical="center"/>
    </xf>
    <xf numFmtId="169" fontId="8" fillId="6" borderId="8" xfId="0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horizontal="left" vertical="center" indent="2"/>
    </xf>
    <xf numFmtId="0" fontId="16" fillId="7" borderId="0" xfId="0" applyFont="1" applyFill="1" applyAlignment="1">
      <alignment horizontal="left" vertical="center" indent="2"/>
    </xf>
    <xf numFmtId="0" fontId="16" fillId="8" borderId="0" xfId="0" applyFont="1" applyFill="1" applyAlignment="1">
      <alignment horizontal="left" vertical="center" indent="2"/>
    </xf>
    <xf numFmtId="0" fontId="16" fillId="4" borderId="0" xfId="0" applyFont="1" applyFill="1" applyAlignment="1">
      <alignment horizontal="left" vertical="center" indent="2"/>
    </xf>
    <xf numFmtId="0" fontId="11" fillId="6" borderId="9" xfId="0" applyFont="1" applyFill="1" applyBorder="1" applyAlignment="1">
      <alignment horizontal="left" vertical="center" indent="1"/>
    </xf>
    <xf numFmtId="0" fontId="11" fillId="6" borderId="9" xfId="0" applyFont="1" applyFill="1" applyBorder="1" applyAlignment="1">
      <alignment horizontal="left" vertical="center" indent="2"/>
    </xf>
    <xf numFmtId="0" fontId="11" fillId="6" borderId="8" xfId="0" applyFont="1" applyFill="1" applyBorder="1" applyAlignment="1">
      <alignment horizontal="left" vertical="center" indent="2"/>
    </xf>
    <xf numFmtId="0" fontId="11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left" indent="1"/>
    </xf>
    <xf numFmtId="0" fontId="17" fillId="6" borderId="0" xfId="0" applyFont="1" applyFill="1" applyAlignment="1">
      <alignment horizontal="center"/>
    </xf>
    <xf numFmtId="9" fontId="11" fillId="6" borderId="9" xfId="1" applyFont="1" applyFill="1" applyBorder="1" applyAlignment="1">
      <alignment horizontal="right" vertical="center" indent="2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</xdr:col>
      <xdr:colOff>277319</xdr:colOff>
      <xdr:row>28</xdr:row>
      <xdr:rowOff>143374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A3C5-0C31-38EA-2EDB-673EB899E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2625"/>
          <a:ext cx="7840169" cy="3572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2</xdr:col>
      <xdr:colOff>915102</xdr:colOff>
      <xdr:row>48</xdr:row>
      <xdr:rowOff>143374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4EBC37-6146-8ABB-CDF1-C1F84D8B0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62625"/>
          <a:ext cx="5029902" cy="357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4CBB-82A0-400F-874A-A15DD3B39C67}">
  <dimension ref="A1:N67"/>
  <sheetViews>
    <sheetView zoomScale="80" zoomScaleNormal="80" workbookViewId="0">
      <pane ySplit="1" topLeftCell="A2" activePane="bottomLeft" state="frozen"/>
      <selection pane="bottomLeft" activeCell="F13" sqref="F13"/>
    </sheetView>
  </sheetViews>
  <sheetFormatPr baseColWidth="10" defaultRowHeight="15" x14ac:dyDescent="0.25"/>
  <cols>
    <col min="1" max="1" width="61.28515625" customWidth="1"/>
    <col min="2" max="2" width="17.28515625" hidden="1" customWidth="1"/>
    <col min="3" max="3" width="17" hidden="1" customWidth="1"/>
    <col min="4" max="4" width="17.28515625" hidden="1" customWidth="1"/>
    <col min="5" max="5" width="16.5703125" hidden="1" customWidth="1"/>
    <col min="6" max="8" width="17.7109375" bestFit="1" customWidth="1"/>
    <col min="9" max="12" width="17.140625" bestFit="1" customWidth="1"/>
    <col min="13" max="13" width="18" bestFit="1" customWidth="1"/>
    <col min="14" max="14" width="19.5703125" bestFit="1" customWidth="1"/>
  </cols>
  <sheetData>
    <row r="1" spans="1:14" ht="1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ht="18.75" x14ac:dyDescent="0.25">
      <c r="A2" s="3" t="s">
        <v>37</v>
      </c>
      <c r="B2" s="4" t="s">
        <v>4</v>
      </c>
      <c r="C2" s="4" t="s">
        <v>5</v>
      </c>
      <c r="D2" s="4" t="s">
        <v>6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7" t="s">
        <v>19</v>
      </c>
    </row>
    <row r="3" spans="1:14" x14ac:dyDescent="0.25">
      <c r="A3" s="5" t="s">
        <v>7</v>
      </c>
      <c r="B3" s="25"/>
      <c r="C3" s="25"/>
      <c r="D3" s="25"/>
      <c r="E3" s="25"/>
      <c r="F3" s="25">
        <v>10000</v>
      </c>
      <c r="G3" s="25"/>
      <c r="H3" s="25"/>
      <c r="I3" s="25"/>
      <c r="J3" s="25"/>
      <c r="K3" s="25"/>
      <c r="L3" s="25"/>
      <c r="M3" s="25"/>
      <c r="N3" s="26">
        <f>SUM(B3:M3)</f>
        <v>10000</v>
      </c>
    </row>
    <row r="4" spans="1:14" hidden="1" x14ac:dyDescent="0.25">
      <c r="A4" s="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</row>
    <row r="5" spans="1:14" hidden="1" x14ac:dyDescent="0.25">
      <c r="A5" s="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1:14" hidden="1" x14ac:dyDescent="0.25">
      <c r="A6" s="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</row>
    <row r="7" spans="1:14" hidden="1" x14ac:dyDescent="0.25">
      <c r="A7" s="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hidden="1" x14ac:dyDescent="0.25">
      <c r="A8" s="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x14ac:dyDescent="0.25">
      <c r="A9" s="5" t="s">
        <v>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>
        <f>SUM(B9:M9)</f>
        <v>0</v>
      </c>
    </row>
    <row r="10" spans="1:14" ht="15.75" thickBot="1" x14ac:dyDescent="0.3">
      <c r="A10" s="6" t="s">
        <v>9</v>
      </c>
      <c r="B10" s="27">
        <f>SUM(B3:B9)</f>
        <v>0</v>
      </c>
      <c r="C10" s="27">
        <f t="shared" ref="C10:N10" si="0">SUM(C3:C9)</f>
        <v>0</v>
      </c>
      <c r="D10" s="27">
        <f t="shared" si="0"/>
        <v>0</v>
      </c>
      <c r="E10" s="27">
        <f t="shared" si="0"/>
        <v>0</v>
      </c>
      <c r="F10" s="27">
        <f t="shared" si="0"/>
        <v>10000</v>
      </c>
      <c r="G10" s="27">
        <f t="shared" si="0"/>
        <v>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10000</v>
      </c>
    </row>
    <row r="11" spans="1:14" x14ac:dyDescent="0.25">
      <c r="A11" s="8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ht="18.75" x14ac:dyDescent="0.25">
      <c r="A12" s="11" t="s">
        <v>73</v>
      </c>
      <c r="B12" s="12" t="s">
        <v>4</v>
      </c>
      <c r="C12" s="12" t="s">
        <v>5</v>
      </c>
      <c r="D12" s="12" t="s">
        <v>6</v>
      </c>
      <c r="E12" s="12" t="s">
        <v>20</v>
      </c>
      <c r="F12" s="12" t="s">
        <v>21</v>
      </c>
      <c r="G12" s="12" t="s">
        <v>22</v>
      </c>
      <c r="H12" s="12" t="s">
        <v>23</v>
      </c>
      <c r="I12" s="12" t="s">
        <v>24</v>
      </c>
      <c r="J12" s="12" t="s">
        <v>25</v>
      </c>
      <c r="K12" s="12" t="s">
        <v>26</v>
      </c>
      <c r="L12" s="12" t="s">
        <v>27</v>
      </c>
      <c r="M12" s="12" t="s">
        <v>28</v>
      </c>
      <c r="N12" s="13" t="s">
        <v>19</v>
      </c>
    </row>
    <row r="13" spans="1:14" x14ac:dyDescent="0.25">
      <c r="A13" s="14" t="s">
        <v>45</v>
      </c>
      <c r="B13" s="25"/>
      <c r="C13" s="25"/>
      <c r="D13" s="25"/>
      <c r="E13" s="25"/>
      <c r="F13" s="25">
        <v>9800</v>
      </c>
      <c r="G13" s="25">
        <v>9800</v>
      </c>
      <c r="H13" s="25">
        <v>9800</v>
      </c>
      <c r="I13" s="25">
        <v>9800</v>
      </c>
      <c r="J13" s="25">
        <v>9800</v>
      </c>
      <c r="K13" s="25">
        <v>9800</v>
      </c>
      <c r="L13" s="25">
        <v>9800</v>
      </c>
      <c r="M13" s="25">
        <v>9800</v>
      </c>
      <c r="N13" s="26">
        <f>SUM(B13:M13)</f>
        <v>78400</v>
      </c>
    </row>
    <row r="14" spans="1:14" x14ac:dyDescent="0.25">
      <c r="A14" s="14" t="s">
        <v>46</v>
      </c>
      <c r="B14" s="25"/>
      <c r="C14" s="25"/>
      <c r="D14" s="25"/>
      <c r="E14" s="25"/>
      <c r="F14" s="25">
        <v>100</v>
      </c>
      <c r="G14" s="25">
        <v>100</v>
      </c>
      <c r="H14" s="25">
        <v>100</v>
      </c>
      <c r="I14" s="25">
        <v>100</v>
      </c>
      <c r="J14" s="25">
        <v>100</v>
      </c>
      <c r="K14" s="25">
        <v>100</v>
      </c>
      <c r="L14" s="25">
        <v>400</v>
      </c>
      <c r="M14" s="25">
        <v>400</v>
      </c>
      <c r="N14" s="26">
        <f t="shared" ref="N14:N30" si="1">SUM(B14:M14)</f>
        <v>1400</v>
      </c>
    </row>
    <row r="15" spans="1:14" x14ac:dyDescent="0.25">
      <c r="A15" s="14" t="s">
        <v>47</v>
      </c>
      <c r="B15" s="25"/>
      <c r="C15" s="25"/>
      <c r="D15" s="25"/>
      <c r="E15" s="25"/>
      <c r="F15" s="25">
        <v>300</v>
      </c>
      <c r="G15" s="25">
        <v>300</v>
      </c>
      <c r="H15" s="25">
        <v>300</v>
      </c>
      <c r="I15" s="25">
        <v>300</v>
      </c>
      <c r="J15" s="25">
        <v>300</v>
      </c>
      <c r="K15" s="25">
        <v>300</v>
      </c>
      <c r="L15" s="25">
        <v>300</v>
      </c>
      <c r="M15" s="25">
        <v>300</v>
      </c>
      <c r="N15" s="26">
        <f t="shared" si="1"/>
        <v>2400</v>
      </c>
    </row>
    <row r="16" spans="1:14" x14ac:dyDescent="0.25">
      <c r="A16" s="14" t="s">
        <v>48</v>
      </c>
      <c r="B16" s="25"/>
      <c r="C16" s="25"/>
      <c r="D16" s="25"/>
      <c r="E16" s="25"/>
      <c r="F16" s="25">
        <v>40</v>
      </c>
      <c r="G16" s="25">
        <v>40</v>
      </c>
      <c r="H16" s="25">
        <v>40</v>
      </c>
      <c r="I16" s="25">
        <v>40</v>
      </c>
      <c r="J16" s="25">
        <v>40</v>
      </c>
      <c r="K16" s="25">
        <v>40</v>
      </c>
      <c r="L16" s="25">
        <v>40</v>
      </c>
      <c r="M16" s="25">
        <v>40</v>
      </c>
      <c r="N16" s="26">
        <f t="shared" si="1"/>
        <v>320</v>
      </c>
    </row>
    <row r="17" spans="1:14" x14ac:dyDescent="0.25">
      <c r="A17" s="14" t="s">
        <v>55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</row>
    <row r="18" spans="1:14" x14ac:dyDescent="0.25">
      <c r="A18" s="14" t="s">
        <v>49</v>
      </c>
      <c r="B18" s="25"/>
      <c r="C18" s="25"/>
      <c r="D18" s="25"/>
      <c r="E18" s="25"/>
      <c r="F18" s="25">
        <v>250</v>
      </c>
      <c r="G18" s="25">
        <v>250</v>
      </c>
      <c r="H18" s="25">
        <v>250</v>
      </c>
      <c r="I18" s="25">
        <v>250</v>
      </c>
      <c r="J18" s="25">
        <v>250</v>
      </c>
      <c r="K18" s="25">
        <v>250</v>
      </c>
      <c r="L18" s="25">
        <v>250</v>
      </c>
      <c r="M18" s="25">
        <v>250</v>
      </c>
      <c r="N18" s="26">
        <f t="shared" si="1"/>
        <v>2000</v>
      </c>
    </row>
    <row r="19" spans="1:14" x14ac:dyDescent="0.25">
      <c r="A19" s="14" t="s">
        <v>75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</row>
    <row r="20" spans="1:14" x14ac:dyDescent="0.25">
      <c r="A20" s="14" t="s">
        <v>50</v>
      </c>
      <c r="B20" s="25"/>
      <c r="C20" s="25"/>
      <c r="D20" s="25"/>
      <c r="E20" s="25"/>
      <c r="F20" s="25">
        <v>180</v>
      </c>
      <c r="G20" s="25">
        <v>180</v>
      </c>
      <c r="H20" s="25">
        <v>180</v>
      </c>
      <c r="I20" s="25">
        <v>180</v>
      </c>
      <c r="J20" s="25">
        <v>180</v>
      </c>
      <c r="K20" s="25">
        <v>180</v>
      </c>
      <c r="L20" s="25">
        <v>180</v>
      </c>
      <c r="M20" s="25">
        <v>180</v>
      </c>
      <c r="N20" s="26">
        <f t="shared" si="1"/>
        <v>1440</v>
      </c>
    </row>
    <row r="21" spans="1:14" ht="15.75" thickBot="1" x14ac:dyDescent="0.3">
      <c r="A21" s="15" t="s">
        <v>9</v>
      </c>
      <c r="B21" s="27">
        <f>SUM(B4:B20)</f>
        <v>0</v>
      </c>
      <c r="C21" s="27">
        <f t="shared" ref="C21" si="2">SUM(C4:C20)</f>
        <v>0</v>
      </c>
      <c r="D21" s="27">
        <f t="shared" ref="D21" si="3">SUM(D4:D20)</f>
        <v>0</v>
      </c>
      <c r="E21" s="27">
        <f>SUM(E13:E20)</f>
        <v>0</v>
      </c>
      <c r="F21" s="27">
        <f t="shared" ref="F21:M21" si="4">SUM(F13:F20)</f>
        <v>10670</v>
      </c>
      <c r="G21" s="27">
        <f t="shared" si="4"/>
        <v>10670</v>
      </c>
      <c r="H21" s="27">
        <f t="shared" si="4"/>
        <v>10670</v>
      </c>
      <c r="I21" s="27">
        <f t="shared" si="4"/>
        <v>10670</v>
      </c>
      <c r="J21" s="27">
        <f t="shared" si="4"/>
        <v>10670</v>
      </c>
      <c r="K21" s="27">
        <f t="shared" si="4"/>
        <v>10670</v>
      </c>
      <c r="L21" s="27">
        <f t="shared" si="4"/>
        <v>10970</v>
      </c>
      <c r="M21" s="27">
        <f t="shared" si="4"/>
        <v>10970</v>
      </c>
      <c r="N21" s="26">
        <f t="shared" si="1"/>
        <v>85960</v>
      </c>
    </row>
    <row r="22" spans="1:14" ht="18.75" x14ac:dyDescent="0.25">
      <c r="A22" s="11" t="s">
        <v>74</v>
      </c>
      <c r="B22" s="12" t="s">
        <v>4</v>
      </c>
      <c r="C22" s="12" t="s">
        <v>5</v>
      </c>
      <c r="D22" s="12" t="s">
        <v>6</v>
      </c>
      <c r="E22" s="12" t="s">
        <v>20</v>
      </c>
      <c r="F22" s="12" t="s">
        <v>21</v>
      </c>
      <c r="G22" s="12" t="s">
        <v>22</v>
      </c>
      <c r="H22" s="12" t="s">
        <v>23</v>
      </c>
      <c r="I22" s="12" t="s">
        <v>24</v>
      </c>
      <c r="J22" s="12" t="s">
        <v>25</v>
      </c>
      <c r="K22" s="12" t="s">
        <v>26</v>
      </c>
      <c r="L22" s="12" t="s">
        <v>27</v>
      </c>
      <c r="M22" s="12" t="s">
        <v>28</v>
      </c>
      <c r="N22" s="13" t="s">
        <v>19</v>
      </c>
    </row>
    <row r="23" spans="1:14" x14ac:dyDescent="0.25">
      <c r="A23" s="14" t="s">
        <v>45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>
        <f t="shared" si="1"/>
        <v>0</v>
      </c>
    </row>
    <row r="24" spans="1:14" x14ac:dyDescent="0.25">
      <c r="A24" s="14" t="s">
        <v>51</v>
      </c>
      <c r="B24" s="25"/>
      <c r="C24" s="25"/>
      <c r="D24" s="25"/>
      <c r="E24" s="25"/>
      <c r="F24" s="25">
        <v>200</v>
      </c>
      <c r="G24" s="25">
        <v>200</v>
      </c>
      <c r="H24" s="25">
        <v>200</v>
      </c>
      <c r="I24" s="25">
        <v>200</v>
      </c>
      <c r="J24" s="25">
        <v>200</v>
      </c>
      <c r="K24" s="25">
        <v>200</v>
      </c>
      <c r="L24" s="25">
        <v>200</v>
      </c>
      <c r="M24" s="25">
        <v>200</v>
      </c>
      <c r="N24" s="26">
        <f t="shared" si="1"/>
        <v>1600</v>
      </c>
    </row>
    <row r="25" spans="1:14" x14ac:dyDescent="0.25">
      <c r="A25" s="14" t="s">
        <v>52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>
        <f t="shared" si="1"/>
        <v>0</v>
      </c>
    </row>
    <row r="26" spans="1:14" x14ac:dyDescent="0.25">
      <c r="A26" s="14" t="s">
        <v>53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>
        <f t="shared" si="1"/>
        <v>0</v>
      </c>
    </row>
    <row r="27" spans="1:14" x14ac:dyDescent="0.25">
      <c r="A27" s="14" t="s">
        <v>54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>
        <f t="shared" si="1"/>
        <v>0</v>
      </c>
    </row>
    <row r="28" spans="1:14" x14ac:dyDescent="0.25">
      <c r="A28" s="14" t="s">
        <v>49</v>
      </c>
      <c r="B28" s="25"/>
      <c r="C28" s="25"/>
      <c r="D28" s="25"/>
      <c r="E28" s="25"/>
      <c r="F28" s="25">
        <v>600</v>
      </c>
      <c r="G28" s="25">
        <v>600</v>
      </c>
      <c r="H28" s="25">
        <v>600</v>
      </c>
      <c r="I28" s="25">
        <v>600</v>
      </c>
      <c r="J28" s="25">
        <v>600</v>
      </c>
      <c r="K28" s="25">
        <v>600</v>
      </c>
      <c r="L28" s="25">
        <v>600</v>
      </c>
      <c r="M28" s="25">
        <v>600</v>
      </c>
      <c r="N28" s="26">
        <f t="shared" si="1"/>
        <v>4800</v>
      </c>
    </row>
    <row r="29" spans="1:14" x14ac:dyDescent="0.25">
      <c r="A29" s="14" t="s">
        <v>56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>
        <f t="shared" si="1"/>
        <v>0</v>
      </c>
    </row>
    <row r="30" spans="1:14" ht="15.75" thickBot="1" x14ac:dyDescent="0.3">
      <c r="A30" s="15" t="s">
        <v>9</v>
      </c>
      <c r="B30" s="27">
        <f>SUM(B13:B29)</f>
        <v>0</v>
      </c>
      <c r="C30" s="27">
        <f>SUM(C13:C29)</f>
        <v>0</v>
      </c>
      <c r="D30" s="27">
        <f>SUM(D13:D29)</f>
        <v>0</v>
      </c>
      <c r="E30" s="27">
        <f>SUM(E23:E29)</f>
        <v>0</v>
      </c>
      <c r="F30" s="27">
        <f t="shared" ref="F30:M30" si="5">SUM(F23:F29)</f>
        <v>800</v>
      </c>
      <c r="G30" s="27">
        <f t="shared" si="5"/>
        <v>800</v>
      </c>
      <c r="H30" s="27">
        <f t="shared" si="5"/>
        <v>800</v>
      </c>
      <c r="I30" s="27">
        <f t="shared" si="5"/>
        <v>800</v>
      </c>
      <c r="J30" s="27">
        <f t="shared" si="5"/>
        <v>800</v>
      </c>
      <c r="K30" s="27">
        <f t="shared" si="5"/>
        <v>800</v>
      </c>
      <c r="L30" s="27">
        <f t="shared" si="5"/>
        <v>800</v>
      </c>
      <c r="M30" s="27">
        <f t="shared" si="5"/>
        <v>800</v>
      </c>
      <c r="N30" s="26">
        <f t="shared" si="1"/>
        <v>6400</v>
      </c>
    </row>
    <row r="31" spans="1:14" ht="15.75" thickBot="1" x14ac:dyDescent="0.3">
      <c r="A31" s="15" t="s">
        <v>9</v>
      </c>
      <c r="B31" s="27">
        <f>SUM(B14:B30)</f>
        <v>0</v>
      </c>
      <c r="C31" s="27">
        <f t="shared" ref="C31" si="6">SUM(C14:C30)</f>
        <v>0</v>
      </c>
      <c r="D31" s="27">
        <f t="shared" ref="D31" si="7">SUM(D14:D30)</f>
        <v>0</v>
      </c>
      <c r="E31" s="27">
        <f>+E21+E30</f>
        <v>0</v>
      </c>
      <c r="F31" s="27">
        <f t="shared" ref="F31:M31" si="8">+F21+F30</f>
        <v>11470</v>
      </c>
      <c r="G31" s="27">
        <f t="shared" si="8"/>
        <v>11470</v>
      </c>
      <c r="H31" s="27">
        <f t="shared" si="8"/>
        <v>11470</v>
      </c>
      <c r="I31" s="27">
        <f t="shared" si="8"/>
        <v>11470</v>
      </c>
      <c r="J31" s="27">
        <f t="shared" si="8"/>
        <v>11470</v>
      </c>
      <c r="K31" s="27">
        <f t="shared" si="8"/>
        <v>11470</v>
      </c>
      <c r="L31" s="27">
        <f t="shared" si="8"/>
        <v>11770</v>
      </c>
      <c r="M31" s="27">
        <f t="shared" si="8"/>
        <v>11770</v>
      </c>
      <c r="N31" s="27">
        <f>+N21+N30</f>
        <v>92360</v>
      </c>
    </row>
    <row r="32" spans="1:14" ht="15.75" thickBot="1" x14ac:dyDescent="0.3">
      <c r="A32" s="16"/>
      <c r="B32" s="16"/>
      <c r="C32" s="9"/>
      <c r="D32" s="9"/>
      <c r="E32" s="17"/>
      <c r="F32" s="17"/>
      <c r="G32" s="17"/>
      <c r="H32" s="17"/>
      <c r="I32" s="17"/>
      <c r="J32" s="17"/>
      <c r="K32" s="17"/>
      <c r="L32" s="17"/>
      <c r="M32" s="17"/>
      <c r="N32" s="10"/>
    </row>
    <row r="33" spans="1:14" ht="18.75" x14ac:dyDescent="0.25">
      <c r="A33" s="18" t="s">
        <v>38</v>
      </c>
      <c r="B33" s="19" t="s">
        <v>4</v>
      </c>
      <c r="C33" s="19" t="s">
        <v>5</v>
      </c>
      <c r="D33" s="19" t="s">
        <v>6</v>
      </c>
      <c r="E33" s="19" t="s">
        <v>20</v>
      </c>
      <c r="F33" s="19" t="s">
        <v>21</v>
      </c>
      <c r="G33" s="19" t="s">
        <v>22</v>
      </c>
      <c r="H33" s="19" t="s">
        <v>23</v>
      </c>
      <c r="I33" s="19" t="s">
        <v>24</v>
      </c>
      <c r="J33" s="19" t="s">
        <v>25</v>
      </c>
      <c r="K33" s="19" t="s">
        <v>26</v>
      </c>
      <c r="L33" s="19" t="s">
        <v>27</v>
      </c>
      <c r="M33" s="19" t="s">
        <v>28</v>
      </c>
      <c r="N33" s="20" t="s">
        <v>19</v>
      </c>
    </row>
    <row r="34" spans="1:14" x14ac:dyDescent="0.25">
      <c r="A34" s="5" t="s">
        <v>57</v>
      </c>
      <c r="B34" s="28"/>
      <c r="C34" s="28"/>
      <c r="D34" s="28"/>
      <c r="E34" s="28"/>
      <c r="F34" s="28">
        <v>500</v>
      </c>
      <c r="G34" s="28">
        <v>500</v>
      </c>
      <c r="H34" s="28">
        <v>500</v>
      </c>
      <c r="I34" s="28">
        <v>500</v>
      </c>
      <c r="J34" s="28">
        <v>500</v>
      </c>
      <c r="K34" s="28">
        <v>500</v>
      </c>
      <c r="L34" s="28">
        <v>500</v>
      </c>
      <c r="M34" s="28">
        <v>500</v>
      </c>
      <c r="N34" s="26">
        <f t="shared" ref="N34:N51" si="9">SUM(B34:M34)</f>
        <v>4000</v>
      </c>
    </row>
    <row r="35" spans="1:14" x14ac:dyDescent="0.25">
      <c r="A35" s="5" t="s">
        <v>58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6"/>
    </row>
    <row r="36" spans="1:14" x14ac:dyDescent="0.25">
      <c r="A36" s="5" t="s">
        <v>59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6"/>
    </row>
    <row r="37" spans="1:14" x14ac:dyDescent="0.25">
      <c r="A37" s="5" t="s">
        <v>60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6"/>
    </row>
    <row r="38" spans="1:14" x14ac:dyDescent="0.25">
      <c r="A38" s="5" t="s">
        <v>61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6"/>
    </row>
    <row r="39" spans="1:14" x14ac:dyDescent="0.25">
      <c r="A39" s="5" t="s">
        <v>62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6"/>
    </row>
    <row r="40" spans="1:14" x14ac:dyDescent="0.25">
      <c r="A40" s="5" t="s">
        <v>29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6"/>
    </row>
    <row r="41" spans="1:14" x14ac:dyDescent="0.25">
      <c r="A41" s="5" t="s">
        <v>63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6"/>
    </row>
    <row r="42" spans="1:14" x14ac:dyDescent="0.25">
      <c r="A42" s="5" t="s">
        <v>64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6"/>
    </row>
    <row r="43" spans="1:14" x14ac:dyDescent="0.25">
      <c r="A43" s="5" t="s">
        <v>65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6"/>
    </row>
    <row r="44" spans="1:14" x14ac:dyDescent="0.25">
      <c r="A44" s="5" t="s">
        <v>66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6"/>
    </row>
    <row r="45" spans="1:14" x14ac:dyDescent="0.25">
      <c r="A45" s="5" t="s">
        <v>67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6"/>
    </row>
    <row r="46" spans="1:14" x14ac:dyDescent="0.25">
      <c r="A46" s="5" t="s">
        <v>68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6"/>
    </row>
    <row r="47" spans="1:14" x14ac:dyDescent="0.25">
      <c r="A47" s="5" t="s">
        <v>69</v>
      </c>
      <c r="B47" s="28"/>
      <c r="C47" s="28"/>
      <c r="D47" s="28"/>
      <c r="E47" s="28"/>
      <c r="F47" s="28">
        <v>200</v>
      </c>
      <c r="G47" s="28">
        <v>1000</v>
      </c>
      <c r="H47" s="28">
        <v>200</v>
      </c>
      <c r="I47" s="28">
        <v>200</v>
      </c>
      <c r="J47" s="28">
        <v>200</v>
      </c>
      <c r="K47" s="28">
        <v>200</v>
      </c>
      <c r="L47" s="28">
        <v>200</v>
      </c>
      <c r="M47" s="28">
        <v>1000</v>
      </c>
      <c r="N47" s="26">
        <f t="shared" si="9"/>
        <v>3200</v>
      </c>
    </row>
    <row r="48" spans="1:14" x14ac:dyDescent="0.25">
      <c r="A48" s="5" t="s">
        <v>70</v>
      </c>
      <c r="B48" s="28"/>
      <c r="C48" s="28"/>
      <c r="D48" s="28"/>
      <c r="E48" s="28"/>
      <c r="F48" s="28">
        <v>0</v>
      </c>
      <c r="G48" s="28">
        <v>0</v>
      </c>
      <c r="H48" s="28">
        <v>5000</v>
      </c>
      <c r="I48" s="28">
        <v>0</v>
      </c>
      <c r="J48" s="28">
        <v>0</v>
      </c>
      <c r="K48" s="28">
        <v>5000</v>
      </c>
      <c r="L48" s="28">
        <v>0</v>
      </c>
      <c r="M48" s="28">
        <v>0</v>
      </c>
      <c r="N48" s="26">
        <f t="shared" si="9"/>
        <v>10000</v>
      </c>
    </row>
    <row r="49" spans="1:14" x14ac:dyDescent="0.25">
      <c r="A49" s="5" t="s">
        <v>71</v>
      </c>
      <c r="B49" s="28"/>
      <c r="C49" s="28"/>
      <c r="D49" s="28"/>
      <c r="E49" s="28"/>
      <c r="F49" s="28">
        <v>200</v>
      </c>
      <c r="G49" s="28">
        <v>200</v>
      </c>
      <c r="H49" s="28">
        <v>200</v>
      </c>
      <c r="I49" s="28">
        <v>200</v>
      </c>
      <c r="J49" s="28">
        <v>200</v>
      </c>
      <c r="K49" s="28">
        <v>200</v>
      </c>
      <c r="L49" s="28">
        <v>200</v>
      </c>
      <c r="M49" s="28">
        <v>200</v>
      </c>
      <c r="N49" s="26">
        <f t="shared" si="9"/>
        <v>1600</v>
      </c>
    </row>
    <row r="50" spans="1:14" x14ac:dyDescent="0.25">
      <c r="A50" s="5" t="s">
        <v>72</v>
      </c>
      <c r="B50" s="28"/>
      <c r="C50" s="28"/>
      <c r="D50" s="28"/>
      <c r="E50" s="28"/>
      <c r="F50" s="28">
        <v>2000</v>
      </c>
      <c r="G50" s="28">
        <v>2000</v>
      </c>
      <c r="H50" s="28">
        <v>2000</v>
      </c>
      <c r="I50" s="28">
        <v>5000</v>
      </c>
      <c r="J50" s="28">
        <v>2000</v>
      </c>
      <c r="K50" s="28">
        <v>2000</v>
      </c>
      <c r="L50" s="28">
        <v>2000</v>
      </c>
      <c r="M50" s="28">
        <v>5000</v>
      </c>
      <c r="N50" s="26">
        <f t="shared" si="9"/>
        <v>22000</v>
      </c>
    </row>
    <row r="51" spans="1:14" x14ac:dyDescent="0.25">
      <c r="A51" s="5"/>
      <c r="B51" s="28"/>
      <c r="C51" s="28"/>
      <c r="D51" s="28"/>
      <c r="E51" s="28"/>
      <c r="F51" s="28">
        <v>200</v>
      </c>
      <c r="G51" s="28">
        <v>200</v>
      </c>
      <c r="H51" s="28">
        <v>200</v>
      </c>
      <c r="I51" s="28">
        <v>200</v>
      </c>
      <c r="J51" s="28">
        <v>200</v>
      </c>
      <c r="K51" s="28">
        <v>200</v>
      </c>
      <c r="L51" s="28">
        <v>200</v>
      </c>
      <c r="M51" s="28">
        <v>200</v>
      </c>
      <c r="N51" s="26">
        <f t="shared" si="9"/>
        <v>1600</v>
      </c>
    </row>
    <row r="52" spans="1:14" ht="15.75" thickBot="1" x14ac:dyDescent="0.3">
      <c r="A52" s="21" t="s">
        <v>9</v>
      </c>
      <c r="B52" s="27">
        <f>SUM(B34:B51)</f>
        <v>0</v>
      </c>
      <c r="C52" s="27">
        <f>SUM(C34:C51)</f>
        <v>0</v>
      </c>
      <c r="D52" s="27">
        <f>SUM(D34:D51)</f>
        <v>0</v>
      </c>
      <c r="E52" s="27">
        <f>SUM(E34:E51)</f>
        <v>0</v>
      </c>
      <c r="F52" s="27">
        <f>SUM(F34:F51)</f>
        <v>3100</v>
      </c>
      <c r="G52" s="27">
        <f>SUM(G34:G51)</f>
        <v>3900</v>
      </c>
      <c r="H52" s="27">
        <f>SUM(H34:H51)</f>
        <v>8100</v>
      </c>
      <c r="I52" s="27">
        <f>SUM(I34:I51)</f>
        <v>6100</v>
      </c>
      <c r="J52" s="27">
        <f>SUM(J34:J51)</f>
        <v>3100</v>
      </c>
      <c r="K52" s="27">
        <f>SUM(K34:K51)</f>
        <v>8100</v>
      </c>
      <c r="L52" s="27">
        <f>SUM(L34:L51)</f>
        <v>3100</v>
      </c>
      <c r="M52" s="27">
        <f>SUM(M34:M51)</f>
        <v>6900</v>
      </c>
      <c r="N52" s="27">
        <f>SUM(N34:N51)</f>
        <v>42400</v>
      </c>
    </row>
    <row r="53" spans="1:14" ht="15.75" thickBot="1" x14ac:dyDescent="0.3">
      <c r="A53" s="8"/>
      <c r="B53" s="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0"/>
    </row>
    <row r="54" spans="1:14" ht="18.75" x14ac:dyDescent="0.25">
      <c r="A54" s="3" t="s">
        <v>39</v>
      </c>
      <c r="B54" s="19" t="s">
        <v>4</v>
      </c>
      <c r="C54" s="19" t="s">
        <v>5</v>
      </c>
      <c r="D54" s="19" t="s">
        <v>6</v>
      </c>
      <c r="E54" s="19" t="s">
        <v>20</v>
      </c>
      <c r="F54" s="19" t="s">
        <v>21</v>
      </c>
      <c r="G54" s="19" t="s">
        <v>22</v>
      </c>
      <c r="H54" s="19" t="s">
        <v>23</v>
      </c>
      <c r="I54" s="19" t="s">
        <v>24</v>
      </c>
      <c r="J54" s="19" t="s">
        <v>25</v>
      </c>
      <c r="K54" s="19" t="s">
        <v>26</v>
      </c>
      <c r="L54" s="19" t="s">
        <v>27</v>
      </c>
      <c r="M54" s="19" t="s">
        <v>28</v>
      </c>
      <c r="N54" s="20" t="s">
        <v>19</v>
      </c>
    </row>
    <row r="55" spans="1:14" x14ac:dyDescent="0.25">
      <c r="A55" s="5" t="s">
        <v>76</v>
      </c>
      <c r="B55" s="28"/>
      <c r="C55" s="28"/>
      <c r="D55" s="28"/>
      <c r="E55" s="28"/>
      <c r="F55" s="28">
        <v>2000</v>
      </c>
      <c r="G55" s="28">
        <v>2000</v>
      </c>
      <c r="H55" s="28">
        <v>2000</v>
      </c>
      <c r="I55" s="28">
        <v>2000</v>
      </c>
      <c r="J55" s="28">
        <v>2000</v>
      </c>
      <c r="K55" s="28">
        <v>2000</v>
      </c>
      <c r="L55" s="28">
        <v>2000</v>
      </c>
      <c r="M55" s="28">
        <v>2000</v>
      </c>
      <c r="N55" s="26">
        <f t="shared" ref="N55:N62" si="10">SUM(B55:M55)</f>
        <v>16000</v>
      </c>
    </row>
    <row r="56" spans="1:14" x14ac:dyDescent="0.25">
      <c r="A56" s="5" t="s">
        <v>30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6"/>
    </row>
    <row r="57" spans="1:14" x14ac:dyDescent="0.25">
      <c r="A57" s="5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6"/>
    </row>
    <row r="58" spans="1:14" x14ac:dyDescent="0.25">
      <c r="A58" s="5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6"/>
    </row>
    <row r="59" spans="1:14" x14ac:dyDescent="0.25">
      <c r="A59" s="5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6"/>
    </row>
    <row r="60" spans="1:14" x14ac:dyDescent="0.25">
      <c r="A60" s="5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6"/>
    </row>
    <row r="61" spans="1:14" x14ac:dyDescent="0.25">
      <c r="A61" s="5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6"/>
    </row>
    <row r="62" spans="1:14" x14ac:dyDescent="0.25">
      <c r="A62" s="5" t="s">
        <v>31</v>
      </c>
      <c r="B62" s="28"/>
      <c r="C62" s="28"/>
      <c r="D62" s="28"/>
      <c r="E62" s="28"/>
      <c r="F62" s="28">
        <v>2000</v>
      </c>
      <c r="G62" s="28">
        <v>2000</v>
      </c>
      <c r="H62" s="28">
        <v>2000</v>
      </c>
      <c r="I62" s="28">
        <v>2000</v>
      </c>
      <c r="J62" s="28">
        <v>2000</v>
      </c>
      <c r="K62" s="28">
        <v>2000</v>
      </c>
      <c r="L62" s="28">
        <v>2000</v>
      </c>
      <c r="M62" s="28">
        <v>2000</v>
      </c>
      <c r="N62" s="26">
        <f t="shared" si="10"/>
        <v>16000</v>
      </c>
    </row>
    <row r="63" spans="1:14" ht="15.75" thickBot="1" x14ac:dyDescent="0.3">
      <c r="A63" s="21" t="s">
        <v>9</v>
      </c>
      <c r="B63" s="27">
        <f>SUM(B55:B62)</f>
        <v>0</v>
      </c>
      <c r="C63" s="27">
        <f t="shared" ref="C63:N63" si="11">SUM(C55:C62)</f>
        <v>0</v>
      </c>
      <c r="D63" s="27">
        <f t="shared" si="11"/>
        <v>0</v>
      </c>
      <c r="E63" s="27">
        <f t="shared" si="11"/>
        <v>0</v>
      </c>
      <c r="F63" s="27">
        <f t="shared" si="11"/>
        <v>4000</v>
      </c>
      <c r="G63" s="27">
        <f t="shared" si="11"/>
        <v>4000</v>
      </c>
      <c r="H63" s="27">
        <f t="shared" si="11"/>
        <v>4000</v>
      </c>
      <c r="I63" s="27">
        <f t="shared" si="11"/>
        <v>4000</v>
      </c>
      <c r="J63" s="27">
        <f t="shared" si="11"/>
        <v>4000</v>
      </c>
      <c r="K63" s="27">
        <f t="shared" si="11"/>
        <v>4000</v>
      </c>
      <c r="L63" s="27">
        <f t="shared" si="11"/>
        <v>4000</v>
      </c>
      <c r="M63" s="27">
        <f t="shared" si="11"/>
        <v>4000</v>
      </c>
      <c r="N63" s="27">
        <f t="shared" si="11"/>
        <v>32000</v>
      </c>
    </row>
    <row r="64" spans="1:14" x14ac:dyDescent="0.25">
      <c r="A64" s="8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20.25" thickBot="1" x14ac:dyDescent="0.3">
      <c r="A65" s="22" t="s">
        <v>32</v>
      </c>
      <c r="B65" s="23" t="s">
        <v>4</v>
      </c>
      <c r="C65" s="23" t="s">
        <v>5</v>
      </c>
      <c r="D65" s="23" t="s">
        <v>6</v>
      </c>
      <c r="E65" s="23" t="s">
        <v>20</v>
      </c>
      <c r="F65" s="23" t="s">
        <v>33</v>
      </c>
      <c r="G65" s="23" t="s">
        <v>22</v>
      </c>
      <c r="H65" s="23" t="s">
        <v>23</v>
      </c>
      <c r="I65" s="23" t="s">
        <v>24</v>
      </c>
      <c r="J65" s="23" t="s">
        <v>25</v>
      </c>
      <c r="K65" s="23" t="s">
        <v>26</v>
      </c>
      <c r="L65" s="23" t="s">
        <v>27</v>
      </c>
      <c r="M65" s="23" t="s">
        <v>28</v>
      </c>
      <c r="N65" s="23" t="s">
        <v>34</v>
      </c>
    </row>
    <row r="66" spans="1:14" ht="15.75" thickBot="1" x14ac:dyDescent="0.3">
      <c r="A66" s="24" t="s">
        <v>35</v>
      </c>
      <c r="B66" s="29">
        <f>+B63+B52+B30+B10</f>
        <v>0</v>
      </c>
      <c r="C66" s="29">
        <f>+C63+C52+C30+C10</f>
        <v>0</v>
      </c>
      <c r="D66" s="29">
        <f>+D63+D52+D30+D10</f>
        <v>0</v>
      </c>
      <c r="E66" s="29">
        <f>+E63+E52+E31+E10</f>
        <v>0</v>
      </c>
      <c r="F66" s="29">
        <f t="shared" ref="F66:L66" si="12">+F63+F52+F31+F10</f>
        <v>28570</v>
      </c>
      <c r="G66" s="29">
        <f t="shared" si="12"/>
        <v>19370</v>
      </c>
      <c r="H66" s="29">
        <f t="shared" si="12"/>
        <v>23570</v>
      </c>
      <c r="I66" s="29">
        <f t="shared" si="12"/>
        <v>21570</v>
      </c>
      <c r="J66" s="29">
        <f t="shared" si="12"/>
        <v>18570</v>
      </c>
      <c r="K66" s="29">
        <f t="shared" si="12"/>
        <v>23570</v>
      </c>
      <c r="L66" s="29">
        <f t="shared" si="12"/>
        <v>18870</v>
      </c>
      <c r="M66" s="29">
        <f>+M63+M52+M31+M10</f>
        <v>22670</v>
      </c>
      <c r="N66" s="29"/>
    </row>
    <row r="67" spans="1:14" x14ac:dyDescent="0.25">
      <c r="A67" s="24" t="s">
        <v>36</v>
      </c>
      <c r="B67" s="29">
        <f>+B66</f>
        <v>0</v>
      </c>
      <c r="C67" s="29">
        <f>+B67+C66</f>
        <v>0</v>
      </c>
      <c r="D67" s="29">
        <f t="shared" ref="D67:G67" si="13">+C67+D66</f>
        <v>0</v>
      </c>
      <c r="E67" s="29">
        <f t="shared" si="13"/>
        <v>0</v>
      </c>
      <c r="F67" s="29">
        <f t="shared" si="13"/>
        <v>28570</v>
      </c>
      <c r="G67" s="29">
        <f t="shared" si="13"/>
        <v>47940</v>
      </c>
      <c r="H67" s="29">
        <f t="shared" ref="H67" si="14">+G67+H66</f>
        <v>71510</v>
      </c>
      <c r="I67" s="29">
        <f t="shared" ref="I67" si="15">+H67+I66</f>
        <v>93080</v>
      </c>
      <c r="J67" s="29">
        <f t="shared" ref="J67" si="16">+I67+J66</f>
        <v>111650</v>
      </c>
      <c r="K67" s="29">
        <f t="shared" ref="K67" si="17">+J67+K66</f>
        <v>135220</v>
      </c>
      <c r="L67" s="29">
        <f t="shared" ref="L67" si="18">+K67+L66</f>
        <v>154090</v>
      </c>
      <c r="M67" s="29">
        <f t="shared" ref="M67" si="19">+L67+M66</f>
        <v>176760</v>
      </c>
      <c r="N67" s="29">
        <f t="shared" ref="N67" si="20">+M67+N66</f>
        <v>176760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63E6-C465-4637-AB4D-407E4B535A98}">
  <dimension ref="A1:N67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4" sqref="A4:XFD8"/>
    </sheetView>
  </sheetViews>
  <sheetFormatPr baseColWidth="10" defaultRowHeight="15" x14ac:dyDescent="0.25"/>
  <cols>
    <col min="1" max="1" width="61.28515625" customWidth="1"/>
    <col min="2" max="2" width="17.28515625" hidden="1" customWidth="1"/>
    <col min="3" max="3" width="17" hidden="1" customWidth="1"/>
    <col min="4" max="4" width="17.28515625" hidden="1" customWidth="1"/>
    <col min="5" max="5" width="16.5703125" hidden="1" customWidth="1"/>
    <col min="6" max="8" width="17.7109375" bestFit="1" customWidth="1"/>
    <col min="9" max="12" width="17.140625" bestFit="1" customWidth="1"/>
    <col min="13" max="13" width="18" bestFit="1" customWidth="1"/>
    <col min="14" max="14" width="19.5703125" bestFit="1" customWidth="1"/>
  </cols>
  <sheetData>
    <row r="1" spans="1:14" ht="1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ht="18.75" x14ac:dyDescent="0.25">
      <c r="A2" s="3" t="s">
        <v>37</v>
      </c>
      <c r="B2" s="4" t="s">
        <v>4</v>
      </c>
      <c r="C2" s="4" t="s">
        <v>5</v>
      </c>
      <c r="D2" s="4" t="s">
        <v>6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7" t="s">
        <v>19</v>
      </c>
    </row>
    <row r="3" spans="1:14" x14ac:dyDescent="0.25">
      <c r="A3" s="5" t="s">
        <v>7</v>
      </c>
      <c r="B3" s="25"/>
      <c r="C3" s="25"/>
      <c r="D3" s="25"/>
      <c r="E3" s="25"/>
      <c r="F3" s="25">
        <v>2000</v>
      </c>
      <c r="G3" s="25">
        <v>4000</v>
      </c>
      <c r="H3" s="25"/>
      <c r="I3" s="25"/>
      <c r="J3" s="25"/>
      <c r="K3" s="25"/>
      <c r="L3" s="25"/>
      <c r="M3" s="25"/>
      <c r="N3" s="26">
        <f>SUM(B3:M3)</f>
        <v>6000</v>
      </c>
    </row>
    <row r="4" spans="1:14" hidden="1" x14ac:dyDescent="0.25">
      <c r="A4" s="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</row>
    <row r="5" spans="1:14" hidden="1" x14ac:dyDescent="0.25">
      <c r="A5" s="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1:14" hidden="1" x14ac:dyDescent="0.25">
      <c r="A6" s="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</row>
    <row r="7" spans="1:14" hidden="1" x14ac:dyDescent="0.25">
      <c r="A7" s="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hidden="1" x14ac:dyDescent="0.25">
      <c r="A8" s="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x14ac:dyDescent="0.25">
      <c r="A9" s="5" t="s">
        <v>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>
        <f>SUM(B9:M9)</f>
        <v>0</v>
      </c>
    </row>
    <row r="10" spans="1:14" ht="15.75" thickBot="1" x14ac:dyDescent="0.3">
      <c r="A10" s="6" t="s">
        <v>9</v>
      </c>
      <c r="B10" s="27">
        <f>SUM(B3:B9)</f>
        <v>0</v>
      </c>
      <c r="C10" s="27">
        <f t="shared" ref="C10:N10" si="0">SUM(C3:C9)</f>
        <v>0</v>
      </c>
      <c r="D10" s="27">
        <f t="shared" si="0"/>
        <v>0</v>
      </c>
      <c r="E10" s="27">
        <f t="shared" si="0"/>
        <v>0</v>
      </c>
      <c r="F10" s="27">
        <f t="shared" si="0"/>
        <v>2000</v>
      </c>
      <c r="G10" s="27">
        <f t="shared" si="0"/>
        <v>4000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6000</v>
      </c>
    </row>
    <row r="11" spans="1:14" x14ac:dyDescent="0.25">
      <c r="A11" s="8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ht="18.75" x14ac:dyDescent="0.25">
      <c r="A12" s="11" t="s">
        <v>73</v>
      </c>
      <c r="B12" s="12" t="s">
        <v>4</v>
      </c>
      <c r="C12" s="12" t="s">
        <v>5</v>
      </c>
      <c r="D12" s="12" t="s">
        <v>6</v>
      </c>
      <c r="E12" s="12" t="s">
        <v>20</v>
      </c>
      <c r="F12" s="12" t="s">
        <v>21</v>
      </c>
      <c r="G12" s="12" t="s">
        <v>22</v>
      </c>
      <c r="H12" s="12" t="s">
        <v>23</v>
      </c>
      <c r="I12" s="12" t="s">
        <v>24</v>
      </c>
      <c r="J12" s="12" t="s">
        <v>25</v>
      </c>
      <c r="K12" s="12" t="s">
        <v>26</v>
      </c>
      <c r="L12" s="12" t="s">
        <v>27</v>
      </c>
      <c r="M12" s="12" t="s">
        <v>28</v>
      </c>
      <c r="N12" s="13" t="s">
        <v>19</v>
      </c>
    </row>
    <row r="13" spans="1:14" x14ac:dyDescent="0.25">
      <c r="A13" s="14" t="s">
        <v>45</v>
      </c>
      <c r="B13" s="25"/>
      <c r="C13" s="25"/>
      <c r="D13" s="25"/>
      <c r="E13" s="25"/>
      <c r="F13" s="25">
        <v>9800</v>
      </c>
      <c r="G13" s="25">
        <v>9800</v>
      </c>
      <c r="H13" s="25">
        <v>9800</v>
      </c>
      <c r="I13" s="25">
        <v>9800</v>
      </c>
      <c r="J13" s="25">
        <v>9800</v>
      </c>
      <c r="K13" s="25">
        <v>9800</v>
      </c>
      <c r="L13" s="25">
        <v>9800</v>
      </c>
      <c r="M13" s="25">
        <v>9800</v>
      </c>
      <c r="N13" s="26">
        <f>SUM(B13:M13)</f>
        <v>78400</v>
      </c>
    </row>
    <row r="14" spans="1:14" x14ac:dyDescent="0.25">
      <c r="A14" s="14" t="s">
        <v>46</v>
      </c>
      <c r="B14" s="25"/>
      <c r="C14" s="25"/>
      <c r="D14" s="25"/>
      <c r="E14" s="25"/>
      <c r="F14" s="25">
        <v>100</v>
      </c>
      <c r="G14" s="25">
        <v>100</v>
      </c>
      <c r="H14" s="25">
        <v>100</v>
      </c>
      <c r="I14" s="25">
        <v>100</v>
      </c>
      <c r="J14" s="25">
        <v>100</v>
      </c>
      <c r="K14" s="25">
        <v>100</v>
      </c>
      <c r="L14" s="25">
        <v>400</v>
      </c>
      <c r="M14" s="25">
        <v>400</v>
      </c>
      <c r="N14" s="26">
        <f t="shared" ref="N14:N30" si="1">SUM(B14:M14)</f>
        <v>1400</v>
      </c>
    </row>
    <row r="15" spans="1:14" x14ac:dyDescent="0.25">
      <c r="A15" s="14" t="s">
        <v>47</v>
      </c>
      <c r="B15" s="25"/>
      <c r="C15" s="25"/>
      <c r="D15" s="25"/>
      <c r="E15" s="25"/>
      <c r="F15" s="25">
        <v>300</v>
      </c>
      <c r="G15" s="25">
        <v>300</v>
      </c>
      <c r="H15" s="25">
        <v>300</v>
      </c>
      <c r="I15" s="25">
        <v>300</v>
      </c>
      <c r="J15" s="25">
        <v>300</v>
      </c>
      <c r="K15" s="25">
        <v>300</v>
      </c>
      <c r="L15" s="25">
        <v>300</v>
      </c>
      <c r="M15" s="25">
        <v>300</v>
      </c>
      <c r="N15" s="26">
        <f t="shared" si="1"/>
        <v>2400</v>
      </c>
    </row>
    <row r="16" spans="1:14" x14ac:dyDescent="0.25">
      <c r="A16" s="14" t="s">
        <v>48</v>
      </c>
      <c r="B16" s="25"/>
      <c r="C16" s="25"/>
      <c r="D16" s="25"/>
      <c r="E16" s="25"/>
      <c r="F16" s="25">
        <v>40</v>
      </c>
      <c r="G16" s="25">
        <v>40</v>
      </c>
      <c r="H16" s="25">
        <v>40</v>
      </c>
      <c r="I16" s="25">
        <v>40</v>
      </c>
      <c r="J16" s="25">
        <v>40</v>
      </c>
      <c r="K16" s="25">
        <v>40</v>
      </c>
      <c r="L16" s="25">
        <v>40</v>
      </c>
      <c r="M16" s="25">
        <v>40</v>
      </c>
      <c r="N16" s="26">
        <f t="shared" si="1"/>
        <v>320</v>
      </c>
    </row>
    <row r="17" spans="1:14" x14ac:dyDescent="0.25">
      <c r="A17" s="14" t="s">
        <v>55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</row>
    <row r="18" spans="1:14" x14ac:dyDescent="0.25">
      <c r="A18" s="14" t="s">
        <v>49</v>
      </c>
      <c r="B18" s="25"/>
      <c r="C18" s="25"/>
      <c r="D18" s="25"/>
      <c r="E18" s="25"/>
      <c r="F18" s="25">
        <v>250</v>
      </c>
      <c r="G18" s="25">
        <v>250</v>
      </c>
      <c r="H18" s="25">
        <v>250</v>
      </c>
      <c r="I18" s="25">
        <v>250</v>
      </c>
      <c r="J18" s="25">
        <v>250</v>
      </c>
      <c r="K18" s="25">
        <v>250</v>
      </c>
      <c r="L18" s="25">
        <v>250</v>
      </c>
      <c r="M18" s="25">
        <v>250</v>
      </c>
      <c r="N18" s="26">
        <f t="shared" si="1"/>
        <v>2000</v>
      </c>
    </row>
    <row r="19" spans="1:14" x14ac:dyDescent="0.25">
      <c r="A19" s="14" t="s">
        <v>75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</row>
    <row r="20" spans="1:14" x14ac:dyDescent="0.25">
      <c r="A20" s="14" t="s">
        <v>50</v>
      </c>
      <c r="B20" s="25"/>
      <c r="C20" s="25"/>
      <c r="D20" s="25"/>
      <c r="E20" s="25"/>
      <c r="F20" s="25">
        <v>180</v>
      </c>
      <c r="G20" s="25">
        <v>180</v>
      </c>
      <c r="H20" s="25">
        <v>180</v>
      </c>
      <c r="I20" s="25">
        <v>180</v>
      </c>
      <c r="J20" s="25">
        <v>180</v>
      </c>
      <c r="K20" s="25">
        <v>180</v>
      </c>
      <c r="L20" s="25">
        <v>180</v>
      </c>
      <c r="M20" s="25">
        <v>180</v>
      </c>
      <c r="N20" s="26">
        <f t="shared" si="1"/>
        <v>1440</v>
      </c>
    </row>
    <row r="21" spans="1:14" ht="15.75" thickBot="1" x14ac:dyDescent="0.3">
      <c r="A21" s="15" t="s">
        <v>9</v>
      </c>
      <c r="B21" s="27">
        <f>SUM(B4:B20)</f>
        <v>0</v>
      </c>
      <c r="C21" s="27">
        <f t="shared" ref="C21:D21" si="2">SUM(C4:C20)</f>
        <v>0</v>
      </c>
      <c r="D21" s="27">
        <f t="shared" si="2"/>
        <v>0</v>
      </c>
      <c r="E21" s="27">
        <f>SUM(E13:E20)</f>
        <v>0</v>
      </c>
      <c r="F21" s="27">
        <f t="shared" ref="F21:M21" si="3">SUM(F13:F20)</f>
        <v>10670</v>
      </c>
      <c r="G21" s="27">
        <f t="shared" si="3"/>
        <v>10670</v>
      </c>
      <c r="H21" s="27">
        <f t="shared" si="3"/>
        <v>10670</v>
      </c>
      <c r="I21" s="27">
        <f t="shared" si="3"/>
        <v>10670</v>
      </c>
      <c r="J21" s="27">
        <f t="shared" si="3"/>
        <v>10670</v>
      </c>
      <c r="K21" s="27">
        <f t="shared" si="3"/>
        <v>10670</v>
      </c>
      <c r="L21" s="27">
        <f t="shared" si="3"/>
        <v>10970</v>
      </c>
      <c r="M21" s="27">
        <f t="shared" si="3"/>
        <v>10970</v>
      </c>
      <c r="N21" s="26">
        <f t="shared" si="1"/>
        <v>85960</v>
      </c>
    </row>
    <row r="22" spans="1:14" ht="18.75" x14ac:dyDescent="0.25">
      <c r="A22" s="11" t="s">
        <v>74</v>
      </c>
      <c r="B22" s="12" t="s">
        <v>4</v>
      </c>
      <c r="C22" s="12" t="s">
        <v>5</v>
      </c>
      <c r="D22" s="12" t="s">
        <v>6</v>
      </c>
      <c r="E22" s="12" t="s">
        <v>20</v>
      </c>
      <c r="F22" s="12" t="s">
        <v>21</v>
      </c>
      <c r="G22" s="12" t="s">
        <v>22</v>
      </c>
      <c r="H22" s="12" t="s">
        <v>23</v>
      </c>
      <c r="I22" s="12" t="s">
        <v>24</v>
      </c>
      <c r="J22" s="12" t="s">
        <v>25</v>
      </c>
      <c r="K22" s="12" t="s">
        <v>26</v>
      </c>
      <c r="L22" s="12" t="s">
        <v>27</v>
      </c>
      <c r="M22" s="12" t="s">
        <v>28</v>
      </c>
      <c r="N22" s="13" t="s">
        <v>19</v>
      </c>
    </row>
    <row r="23" spans="1:14" x14ac:dyDescent="0.25">
      <c r="A23" s="14" t="s">
        <v>45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>
        <f t="shared" si="1"/>
        <v>0</v>
      </c>
    </row>
    <row r="24" spans="1:14" x14ac:dyDescent="0.25">
      <c r="A24" s="14" t="s">
        <v>51</v>
      </c>
      <c r="B24" s="25"/>
      <c r="C24" s="25"/>
      <c r="D24" s="25"/>
      <c r="E24" s="25"/>
      <c r="F24" s="25">
        <v>200</v>
      </c>
      <c r="G24" s="25">
        <v>200</v>
      </c>
      <c r="H24" s="25">
        <v>200</v>
      </c>
      <c r="I24" s="25">
        <v>200</v>
      </c>
      <c r="J24" s="25">
        <v>200</v>
      </c>
      <c r="K24" s="25">
        <v>200</v>
      </c>
      <c r="L24" s="25">
        <v>200</v>
      </c>
      <c r="M24" s="25">
        <v>200</v>
      </c>
      <c r="N24" s="26">
        <f t="shared" si="1"/>
        <v>1600</v>
      </c>
    </row>
    <row r="25" spans="1:14" x14ac:dyDescent="0.25">
      <c r="A25" s="14" t="s">
        <v>52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>
        <f t="shared" si="1"/>
        <v>0</v>
      </c>
    </row>
    <row r="26" spans="1:14" x14ac:dyDescent="0.25">
      <c r="A26" s="14" t="s">
        <v>53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>
        <f t="shared" si="1"/>
        <v>0</v>
      </c>
    </row>
    <row r="27" spans="1:14" x14ac:dyDescent="0.25">
      <c r="A27" s="14" t="s">
        <v>54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>
        <f t="shared" si="1"/>
        <v>0</v>
      </c>
    </row>
    <row r="28" spans="1:14" x14ac:dyDescent="0.25">
      <c r="A28" s="14" t="s">
        <v>49</v>
      </c>
      <c r="B28" s="25"/>
      <c r="C28" s="25"/>
      <c r="D28" s="25"/>
      <c r="E28" s="25"/>
      <c r="F28" s="25">
        <v>600</v>
      </c>
      <c r="G28" s="25">
        <v>600</v>
      </c>
      <c r="H28" s="25">
        <v>600</v>
      </c>
      <c r="I28" s="25">
        <v>600</v>
      </c>
      <c r="J28" s="25">
        <v>600</v>
      </c>
      <c r="K28" s="25">
        <v>600</v>
      </c>
      <c r="L28" s="25">
        <v>600</v>
      </c>
      <c r="M28" s="25">
        <v>600</v>
      </c>
      <c r="N28" s="26">
        <f t="shared" si="1"/>
        <v>4800</v>
      </c>
    </row>
    <row r="29" spans="1:14" x14ac:dyDescent="0.25">
      <c r="A29" s="14" t="s">
        <v>56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>
        <f t="shared" si="1"/>
        <v>0</v>
      </c>
    </row>
    <row r="30" spans="1:14" ht="15.75" thickBot="1" x14ac:dyDescent="0.3">
      <c r="A30" s="15" t="s">
        <v>9</v>
      </c>
      <c r="B30" s="27">
        <f>SUM(B13:B29)</f>
        <v>0</v>
      </c>
      <c r="C30" s="27">
        <f>SUM(C13:C29)</f>
        <v>0</v>
      </c>
      <c r="D30" s="27">
        <f>SUM(D13:D29)</f>
        <v>0</v>
      </c>
      <c r="E30" s="27">
        <f>SUM(E23:E29)</f>
        <v>0</v>
      </c>
      <c r="F30" s="27">
        <f t="shared" ref="F30:M30" si="4">SUM(F23:F29)</f>
        <v>800</v>
      </c>
      <c r="G30" s="27">
        <f t="shared" si="4"/>
        <v>800</v>
      </c>
      <c r="H30" s="27">
        <f t="shared" si="4"/>
        <v>800</v>
      </c>
      <c r="I30" s="27">
        <f t="shared" si="4"/>
        <v>800</v>
      </c>
      <c r="J30" s="27">
        <f t="shared" si="4"/>
        <v>800</v>
      </c>
      <c r="K30" s="27">
        <f t="shared" si="4"/>
        <v>800</v>
      </c>
      <c r="L30" s="27">
        <f t="shared" si="4"/>
        <v>800</v>
      </c>
      <c r="M30" s="27">
        <f t="shared" si="4"/>
        <v>800</v>
      </c>
      <c r="N30" s="26">
        <f t="shared" si="1"/>
        <v>6400</v>
      </c>
    </row>
    <row r="31" spans="1:14" ht="15.75" thickBot="1" x14ac:dyDescent="0.3">
      <c r="A31" s="15" t="s">
        <v>9</v>
      </c>
      <c r="B31" s="27">
        <f>SUM(B14:B30)</f>
        <v>0</v>
      </c>
      <c r="C31" s="27">
        <f t="shared" ref="C31:D31" si="5">SUM(C14:C30)</f>
        <v>0</v>
      </c>
      <c r="D31" s="27">
        <f t="shared" si="5"/>
        <v>0</v>
      </c>
      <c r="E31" s="27">
        <f>+E21+E30</f>
        <v>0</v>
      </c>
      <c r="F31" s="27">
        <f t="shared" ref="F31:M31" si="6">+F21+F30</f>
        <v>11470</v>
      </c>
      <c r="G31" s="27">
        <f t="shared" si="6"/>
        <v>11470</v>
      </c>
      <c r="H31" s="27">
        <f t="shared" si="6"/>
        <v>11470</v>
      </c>
      <c r="I31" s="27">
        <f t="shared" si="6"/>
        <v>11470</v>
      </c>
      <c r="J31" s="27">
        <f t="shared" si="6"/>
        <v>11470</v>
      </c>
      <c r="K31" s="27">
        <f t="shared" si="6"/>
        <v>11470</v>
      </c>
      <c r="L31" s="27">
        <f t="shared" si="6"/>
        <v>11770</v>
      </c>
      <c r="M31" s="27">
        <f t="shared" si="6"/>
        <v>11770</v>
      </c>
      <c r="N31" s="27">
        <f>+N21+N30</f>
        <v>92360</v>
      </c>
    </row>
    <row r="32" spans="1:14" ht="15.75" thickBot="1" x14ac:dyDescent="0.3">
      <c r="A32" s="16"/>
      <c r="B32" s="16"/>
      <c r="C32" s="9"/>
      <c r="D32" s="9"/>
      <c r="E32" s="17"/>
      <c r="F32" s="17"/>
      <c r="G32" s="17"/>
      <c r="H32" s="17"/>
      <c r="I32" s="17"/>
      <c r="J32" s="17"/>
      <c r="K32" s="17"/>
      <c r="L32" s="17"/>
      <c r="M32" s="17"/>
      <c r="N32" s="10"/>
    </row>
    <row r="33" spans="1:14" ht="18.75" x14ac:dyDescent="0.25">
      <c r="A33" s="18" t="s">
        <v>38</v>
      </c>
      <c r="B33" s="19" t="s">
        <v>4</v>
      </c>
      <c r="C33" s="19" t="s">
        <v>5</v>
      </c>
      <c r="D33" s="19" t="s">
        <v>6</v>
      </c>
      <c r="E33" s="19" t="s">
        <v>20</v>
      </c>
      <c r="F33" s="19" t="s">
        <v>21</v>
      </c>
      <c r="G33" s="19" t="s">
        <v>22</v>
      </c>
      <c r="H33" s="19" t="s">
        <v>23</v>
      </c>
      <c r="I33" s="19" t="s">
        <v>24</v>
      </c>
      <c r="J33" s="19" t="s">
        <v>25</v>
      </c>
      <c r="K33" s="19" t="s">
        <v>26</v>
      </c>
      <c r="L33" s="19" t="s">
        <v>27</v>
      </c>
      <c r="M33" s="19" t="s">
        <v>28</v>
      </c>
      <c r="N33" s="20" t="s">
        <v>19</v>
      </c>
    </row>
    <row r="34" spans="1:14" x14ac:dyDescent="0.25">
      <c r="A34" s="5" t="s">
        <v>57</v>
      </c>
      <c r="B34" s="28"/>
      <c r="C34" s="28"/>
      <c r="D34" s="28"/>
      <c r="E34" s="28"/>
      <c r="F34" s="28">
        <v>500</v>
      </c>
      <c r="G34" s="28">
        <v>500</v>
      </c>
      <c r="H34" s="28">
        <v>500</v>
      </c>
      <c r="I34" s="28">
        <v>500</v>
      </c>
      <c r="J34" s="28">
        <v>500</v>
      </c>
      <c r="K34" s="28">
        <v>500</v>
      </c>
      <c r="L34" s="28">
        <v>500</v>
      </c>
      <c r="M34" s="28">
        <v>500</v>
      </c>
      <c r="N34" s="26">
        <f t="shared" ref="N34:N51" si="7">SUM(B34:M34)</f>
        <v>4000</v>
      </c>
    </row>
    <row r="35" spans="1:14" x14ac:dyDescent="0.25">
      <c r="A35" s="5" t="s">
        <v>58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6"/>
    </row>
    <row r="36" spans="1:14" x14ac:dyDescent="0.25">
      <c r="A36" s="5" t="s">
        <v>59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6"/>
    </row>
    <row r="37" spans="1:14" x14ac:dyDescent="0.25">
      <c r="A37" s="5" t="s">
        <v>60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6"/>
    </row>
    <row r="38" spans="1:14" x14ac:dyDescent="0.25">
      <c r="A38" s="5" t="s">
        <v>61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6"/>
    </row>
    <row r="39" spans="1:14" x14ac:dyDescent="0.25">
      <c r="A39" s="5" t="s">
        <v>62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6"/>
    </row>
    <row r="40" spans="1:14" x14ac:dyDescent="0.25">
      <c r="A40" s="5" t="s">
        <v>29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6"/>
    </row>
    <row r="41" spans="1:14" x14ac:dyDescent="0.25">
      <c r="A41" s="5" t="s">
        <v>63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6"/>
    </row>
    <row r="42" spans="1:14" x14ac:dyDescent="0.25">
      <c r="A42" s="5" t="s">
        <v>64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6"/>
    </row>
    <row r="43" spans="1:14" x14ac:dyDescent="0.25">
      <c r="A43" s="5" t="s">
        <v>65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6"/>
    </row>
    <row r="44" spans="1:14" x14ac:dyDescent="0.25">
      <c r="A44" s="5" t="s">
        <v>66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6"/>
    </row>
    <row r="45" spans="1:14" x14ac:dyDescent="0.25">
      <c r="A45" s="5" t="s">
        <v>67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6"/>
    </row>
    <row r="46" spans="1:14" x14ac:dyDescent="0.25">
      <c r="A46" s="5" t="s">
        <v>68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6"/>
    </row>
    <row r="47" spans="1:14" x14ac:dyDescent="0.25">
      <c r="A47" s="5" t="s">
        <v>69</v>
      </c>
      <c r="B47" s="28"/>
      <c r="C47" s="28"/>
      <c r="D47" s="28"/>
      <c r="E47" s="28"/>
      <c r="F47" s="28">
        <v>200</v>
      </c>
      <c r="G47" s="28">
        <v>1000</v>
      </c>
      <c r="H47" s="28">
        <v>200</v>
      </c>
      <c r="I47" s="28">
        <v>200</v>
      </c>
      <c r="J47" s="28">
        <v>200</v>
      </c>
      <c r="K47" s="28">
        <v>200</v>
      </c>
      <c r="L47" s="28">
        <v>200</v>
      </c>
      <c r="M47" s="28">
        <v>1000</v>
      </c>
      <c r="N47" s="26">
        <f t="shared" si="7"/>
        <v>3200</v>
      </c>
    </row>
    <row r="48" spans="1:14" x14ac:dyDescent="0.25">
      <c r="A48" s="5" t="s">
        <v>70</v>
      </c>
      <c r="B48" s="28"/>
      <c r="C48" s="28"/>
      <c r="D48" s="28"/>
      <c r="E48" s="28"/>
      <c r="F48" s="28">
        <v>0</v>
      </c>
      <c r="G48" s="28">
        <v>0</v>
      </c>
      <c r="H48" s="28">
        <v>5000</v>
      </c>
      <c r="I48" s="28">
        <v>0</v>
      </c>
      <c r="J48" s="28">
        <v>0</v>
      </c>
      <c r="K48" s="28">
        <v>5000</v>
      </c>
      <c r="L48" s="28">
        <v>0</v>
      </c>
      <c r="M48" s="28">
        <v>0</v>
      </c>
      <c r="N48" s="26">
        <f t="shared" si="7"/>
        <v>10000</v>
      </c>
    </row>
    <row r="49" spans="1:14" x14ac:dyDescent="0.25">
      <c r="A49" s="5" t="s">
        <v>71</v>
      </c>
      <c r="B49" s="28"/>
      <c r="C49" s="28"/>
      <c r="D49" s="28"/>
      <c r="E49" s="28"/>
      <c r="F49" s="28">
        <v>200</v>
      </c>
      <c r="G49" s="28">
        <v>200</v>
      </c>
      <c r="H49" s="28">
        <v>200</v>
      </c>
      <c r="I49" s="28">
        <v>200</v>
      </c>
      <c r="J49" s="28">
        <v>200</v>
      </c>
      <c r="K49" s="28">
        <v>200</v>
      </c>
      <c r="L49" s="28">
        <v>200</v>
      </c>
      <c r="M49" s="28">
        <v>200</v>
      </c>
      <c r="N49" s="26">
        <f t="shared" si="7"/>
        <v>1600</v>
      </c>
    </row>
    <row r="50" spans="1:14" x14ac:dyDescent="0.25">
      <c r="A50" s="5" t="s">
        <v>72</v>
      </c>
      <c r="B50" s="28"/>
      <c r="C50" s="28"/>
      <c r="D50" s="28"/>
      <c r="E50" s="28"/>
      <c r="F50" s="28">
        <v>2000</v>
      </c>
      <c r="G50" s="28">
        <v>2000</v>
      </c>
      <c r="H50" s="28">
        <v>2000</v>
      </c>
      <c r="I50" s="28">
        <v>5000</v>
      </c>
      <c r="J50" s="28">
        <v>2000</v>
      </c>
      <c r="K50" s="28">
        <v>2000</v>
      </c>
      <c r="L50" s="28">
        <v>2000</v>
      </c>
      <c r="M50" s="28">
        <v>5000</v>
      </c>
      <c r="N50" s="26">
        <f t="shared" si="7"/>
        <v>22000</v>
      </c>
    </row>
    <row r="51" spans="1:14" x14ac:dyDescent="0.25">
      <c r="A51" s="5"/>
      <c r="B51" s="28"/>
      <c r="C51" s="28"/>
      <c r="D51" s="28"/>
      <c r="E51" s="28"/>
      <c r="F51" s="28">
        <v>200</v>
      </c>
      <c r="G51" s="28">
        <v>200</v>
      </c>
      <c r="H51" s="28">
        <v>200</v>
      </c>
      <c r="I51" s="28">
        <v>200</v>
      </c>
      <c r="J51" s="28">
        <v>200</v>
      </c>
      <c r="K51" s="28">
        <v>200</v>
      </c>
      <c r="L51" s="28">
        <v>200</v>
      </c>
      <c r="M51" s="28">
        <v>200</v>
      </c>
      <c r="N51" s="26">
        <f t="shared" si="7"/>
        <v>1600</v>
      </c>
    </row>
    <row r="52" spans="1:14" ht="15.75" thickBot="1" x14ac:dyDescent="0.3">
      <c r="A52" s="21" t="s">
        <v>9</v>
      </c>
      <c r="B52" s="27">
        <f>SUM(B34:B51)</f>
        <v>0</v>
      </c>
      <c r="C52" s="27">
        <f>SUM(C34:C51)</f>
        <v>0</v>
      </c>
      <c r="D52" s="27">
        <f>SUM(D34:D51)</f>
        <v>0</v>
      </c>
      <c r="E52" s="27">
        <f>SUM(E34:E51)</f>
        <v>0</v>
      </c>
      <c r="F52" s="27">
        <f>SUM(F34:F51)</f>
        <v>3100</v>
      </c>
      <c r="G52" s="27">
        <f>SUM(G34:G51)</f>
        <v>3900</v>
      </c>
      <c r="H52" s="27">
        <f>SUM(H34:H51)</f>
        <v>8100</v>
      </c>
      <c r="I52" s="27">
        <f>SUM(I34:I51)</f>
        <v>6100</v>
      </c>
      <c r="J52" s="27">
        <f>SUM(J34:J51)</f>
        <v>3100</v>
      </c>
      <c r="K52" s="27">
        <f>SUM(K34:K51)</f>
        <v>8100</v>
      </c>
      <c r="L52" s="27">
        <f>SUM(L34:L51)</f>
        <v>3100</v>
      </c>
      <c r="M52" s="27">
        <f>SUM(M34:M51)</f>
        <v>6900</v>
      </c>
      <c r="N52" s="27">
        <f>SUM(N34:N51)</f>
        <v>42400</v>
      </c>
    </row>
    <row r="53" spans="1:14" ht="15.75" thickBot="1" x14ac:dyDescent="0.3">
      <c r="A53" s="8"/>
      <c r="B53" s="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0"/>
    </row>
    <row r="54" spans="1:14" ht="18.75" x14ac:dyDescent="0.25">
      <c r="A54" s="3" t="s">
        <v>39</v>
      </c>
      <c r="B54" s="19" t="s">
        <v>4</v>
      </c>
      <c r="C54" s="19" t="s">
        <v>5</v>
      </c>
      <c r="D54" s="19" t="s">
        <v>6</v>
      </c>
      <c r="E54" s="19" t="s">
        <v>20</v>
      </c>
      <c r="F54" s="19" t="s">
        <v>21</v>
      </c>
      <c r="G54" s="19" t="s">
        <v>22</v>
      </c>
      <c r="H54" s="19" t="s">
        <v>23</v>
      </c>
      <c r="I54" s="19" t="s">
        <v>24</v>
      </c>
      <c r="J54" s="19" t="s">
        <v>25</v>
      </c>
      <c r="K54" s="19" t="s">
        <v>26</v>
      </c>
      <c r="L54" s="19" t="s">
        <v>27</v>
      </c>
      <c r="M54" s="19" t="s">
        <v>28</v>
      </c>
      <c r="N54" s="20" t="s">
        <v>19</v>
      </c>
    </row>
    <row r="55" spans="1:14" x14ac:dyDescent="0.25">
      <c r="A55" s="5" t="s">
        <v>76</v>
      </c>
      <c r="B55" s="28"/>
      <c r="C55" s="28"/>
      <c r="D55" s="28"/>
      <c r="E55" s="28"/>
      <c r="F55" s="28">
        <v>2000</v>
      </c>
      <c r="G55" s="28">
        <v>2000</v>
      </c>
      <c r="H55" s="28">
        <v>2000</v>
      </c>
      <c r="I55" s="28">
        <v>2000</v>
      </c>
      <c r="J55" s="28">
        <v>2000</v>
      </c>
      <c r="K55" s="28">
        <v>2000</v>
      </c>
      <c r="L55" s="28">
        <v>2000</v>
      </c>
      <c r="M55" s="28">
        <v>2000</v>
      </c>
      <c r="N55" s="26">
        <f t="shared" ref="N55:N62" si="8">SUM(B55:M55)</f>
        <v>16000</v>
      </c>
    </row>
    <row r="56" spans="1:14" x14ac:dyDescent="0.25">
      <c r="A56" s="5" t="s">
        <v>30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6"/>
    </row>
    <row r="57" spans="1:14" x14ac:dyDescent="0.25">
      <c r="A57" s="5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6"/>
    </row>
    <row r="58" spans="1:14" x14ac:dyDescent="0.25">
      <c r="A58" s="5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6"/>
    </row>
    <row r="59" spans="1:14" x14ac:dyDescent="0.25">
      <c r="A59" s="5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6"/>
    </row>
    <row r="60" spans="1:14" x14ac:dyDescent="0.25">
      <c r="A60" s="5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6"/>
    </row>
    <row r="61" spans="1:14" x14ac:dyDescent="0.25">
      <c r="A61" s="5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6"/>
    </row>
    <row r="62" spans="1:14" x14ac:dyDescent="0.25">
      <c r="A62" s="5" t="s">
        <v>31</v>
      </c>
      <c r="B62" s="28"/>
      <c r="C62" s="28"/>
      <c r="D62" s="28"/>
      <c r="E62" s="28"/>
      <c r="F62" s="28">
        <v>2000</v>
      </c>
      <c r="G62" s="28">
        <v>2000</v>
      </c>
      <c r="H62" s="28">
        <v>2000</v>
      </c>
      <c r="I62" s="28">
        <v>2000</v>
      </c>
      <c r="J62" s="28">
        <v>2000</v>
      </c>
      <c r="K62" s="28">
        <v>2000</v>
      </c>
      <c r="L62" s="28">
        <v>2000</v>
      </c>
      <c r="M62" s="28">
        <v>2000</v>
      </c>
      <c r="N62" s="26">
        <f t="shared" si="8"/>
        <v>16000</v>
      </c>
    </row>
    <row r="63" spans="1:14" ht="15.75" thickBot="1" x14ac:dyDescent="0.3">
      <c r="A63" s="21" t="s">
        <v>9</v>
      </c>
      <c r="B63" s="27">
        <f>SUM(B55:B62)</f>
        <v>0</v>
      </c>
      <c r="C63" s="27">
        <f t="shared" ref="C63:N63" si="9">SUM(C55:C62)</f>
        <v>0</v>
      </c>
      <c r="D63" s="27">
        <f t="shared" si="9"/>
        <v>0</v>
      </c>
      <c r="E63" s="27">
        <f t="shared" si="9"/>
        <v>0</v>
      </c>
      <c r="F63" s="27">
        <f t="shared" si="9"/>
        <v>4000</v>
      </c>
      <c r="G63" s="27">
        <f t="shared" si="9"/>
        <v>4000</v>
      </c>
      <c r="H63" s="27">
        <f t="shared" si="9"/>
        <v>4000</v>
      </c>
      <c r="I63" s="27">
        <f t="shared" si="9"/>
        <v>4000</v>
      </c>
      <c r="J63" s="27">
        <f t="shared" si="9"/>
        <v>4000</v>
      </c>
      <c r="K63" s="27">
        <f t="shared" si="9"/>
        <v>4000</v>
      </c>
      <c r="L63" s="27">
        <f t="shared" si="9"/>
        <v>4000</v>
      </c>
      <c r="M63" s="27">
        <f t="shared" si="9"/>
        <v>4000</v>
      </c>
      <c r="N63" s="27">
        <f t="shared" si="9"/>
        <v>32000</v>
      </c>
    </row>
    <row r="64" spans="1:14" x14ac:dyDescent="0.25">
      <c r="A64" s="8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20.25" thickBot="1" x14ac:dyDescent="0.3">
      <c r="A65" s="22" t="s">
        <v>32</v>
      </c>
      <c r="B65" s="23" t="s">
        <v>4</v>
      </c>
      <c r="C65" s="23" t="s">
        <v>5</v>
      </c>
      <c r="D65" s="23" t="s">
        <v>6</v>
      </c>
      <c r="E65" s="23" t="s">
        <v>20</v>
      </c>
      <c r="F65" s="23" t="s">
        <v>33</v>
      </c>
      <c r="G65" s="23" t="s">
        <v>22</v>
      </c>
      <c r="H65" s="23" t="s">
        <v>23</v>
      </c>
      <c r="I65" s="23" t="s">
        <v>24</v>
      </c>
      <c r="J65" s="23" t="s">
        <v>25</v>
      </c>
      <c r="K65" s="23" t="s">
        <v>26</v>
      </c>
      <c r="L65" s="23" t="s">
        <v>27</v>
      </c>
      <c r="M65" s="23" t="s">
        <v>28</v>
      </c>
      <c r="N65" s="23" t="s">
        <v>34</v>
      </c>
    </row>
    <row r="66" spans="1:14" ht="15.75" thickBot="1" x14ac:dyDescent="0.3">
      <c r="A66" s="24" t="s">
        <v>35</v>
      </c>
      <c r="B66" s="29">
        <f>+B63+B52+B30+B10</f>
        <v>0</v>
      </c>
      <c r="C66" s="29">
        <f>+C63+C52+C30+C10</f>
        <v>0</v>
      </c>
      <c r="D66" s="29">
        <f>+D63+D52+D30+D10</f>
        <v>0</v>
      </c>
      <c r="E66" s="29">
        <f>+E63+E52+E31+E10</f>
        <v>0</v>
      </c>
      <c r="F66" s="29">
        <f t="shared" ref="F66:M66" si="10">+F63+F52+F31+F10</f>
        <v>20570</v>
      </c>
      <c r="G66" s="29">
        <f t="shared" si="10"/>
        <v>23370</v>
      </c>
      <c r="H66" s="29">
        <f t="shared" si="10"/>
        <v>23570</v>
      </c>
      <c r="I66" s="29">
        <f t="shared" si="10"/>
        <v>21570</v>
      </c>
      <c r="J66" s="29">
        <f t="shared" si="10"/>
        <v>18570</v>
      </c>
      <c r="K66" s="29">
        <f t="shared" si="10"/>
        <v>23570</v>
      </c>
      <c r="L66" s="29">
        <f t="shared" si="10"/>
        <v>18870</v>
      </c>
      <c r="M66" s="29">
        <f t="shared" si="10"/>
        <v>22670</v>
      </c>
      <c r="N66" s="29"/>
    </row>
    <row r="67" spans="1:14" x14ac:dyDescent="0.25">
      <c r="A67" s="24" t="s">
        <v>36</v>
      </c>
      <c r="B67" s="29">
        <f>+B66</f>
        <v>0</v>
      </c>
      <c r="C67" s="29">
        <f>+B67+C66</f>
        <v>0</v>
      </c>
      <c r="D67" s="29">
        <f t="shared" ref="D67:N67" si="11">+C67+D66</f>
        <v>0</v>
      </c>
      <c r="E67" s="29">
        <f t="shared" si="11"/>
        <v>0</v>
      </c>
      <c r="F67" s="29">
        <f t="shared" si="11"/>
        <v>20570</v>
      </c>
      <c r="G67" s="29">
        <f t="shared" si="11"/>
        <v>43940</v>
      </c>
      <c r="H67" s="29">
        <f t="shared" si="11"/>
        <v>67510</v>
      </c>
      <c r="I67" s="29">
        <f t="shared" si="11"/>
        <v>89080</v>
      </c>
      <c r="J67" s="29">
        <f t="shared" si="11"/>
        <v>107650</v>
      </c>
      <c r="K67" s="29">
        <f t="shared" si="11"/>
        <v>131220</v>
      </c>
      <c r="L67" s="29">
        <f t="shared" si="11"/>
        <v>150090</v>
      </c>
      <c r="M67" s="29">
        <f t="shared" si="11"/>
        <v>172760</v>
      </c>
      <c r="N67" s="29">
        <f t="shared" si="11"/>
        <v>172760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93E4-7C36-4E83-B747-8781744124DC}">
  <dimension ref="A1:N67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4" sqref="H14"/>
    </sheetView>
  </sheetViews>
  <sheetFormatPr baseColWidth="10" defaultRowHeight="15" x14ac:dyDescent="0.25"/>
  <cols>
    <col min="1" max="1" width="61.28515625" customWidth="1"/>
    <col min="2" max="2" width="17.28515625" hidden="1" customWidth="1"/>
    <col min="3" max="3" width="17" hidden="1" customWidth="1"/>
    <col min="4" max="4" width="17.28515625" hidden="1" customWidth="1"/>
    <col min="5" max="5" width="16.5703125" hidden="1" customWidth="1"/>
    <col min="6" max="8" width="17.7109375" bestFit="1" customWidth="1"/>
    <col min="9" max="12" width="17.140625" bestFit="1" customWidth="1"/>
    <col min="13" max="13" width="18" bestFit="1" customWidth="1"/>
    <col min="14" max="14" width="19.5703125" bestFit="1" customWidth="1"/>
  </cols>
  <sheetData>
    <row r="1" spans="1:14" ht="1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ht="18.75" x14ac:dyDescent="0.25">
      <c r="A2" s="3" t="s">
        <v>37</v>
      </c>
      <c r="B2" s="4" t="s">
        <v>4</v>
      </c>
      <c r="C2" s="4" t="s">
        <v>5</v>
      </c>
      <c r="D2" s="4" t="s">
        <v>6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7" t="s">
        <v>19</v>
      </c>
    </row>
    <row r="3" spans="1:14" x14ac:dyDescent="0.25">
      <c r="A3" s="5" t="s">
        <v>7</v>
      </c>
      <c r="B3" s="25"/>
      <c r="C3" s="25"/>
      <c r="D3" s="25"/>
      <c r="E3" s="25"/>
      <c r="F3" s="25">
        <f>+'GASTOS PLANIFICADOS'!F3-'GASTOS REALES'!F3</f>
        <v>8000</v>
      </c>
      <c r="G3" s="25"/>
      <c r="H3" s="25"/>
      <c r="I3" s="25"/>
      <c r="J3" s="25"/>
      <c r="K3" s="25"/>
      <c r="L3" s="25"/>
      <c r="M3" s="25"/>
      <c r="N3" s="26">
        <f>SUM(B3:M3)</f>
        <v>8000</v>
      </c>
    </row>
    <row r="4" spans="1:14" hidden="1" x14ac:dyDescent="0.25">
      <c r="A4" s="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</row>
    <row r="5" spans="1:14" hidden="1" x14ac:dyDescent="0.25">
      <c r="A5" s="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6"/>
    </row>
    <row r="6" spans="1:14" hidden="1" x14ac:dyDescent="0.25">
      <c r="A6" s="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</row>
    <row r="7" spans="1:14" hidden="1" x14ac:dyDescent="0.25">
      <c r="A7" s="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hidden="1" x14ac:dyDescent="0.25">
      <c r="A8" s="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x14ac:dyDescent="0.25">
      <c r="A9" s="5" t="s">
        <v>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>
        <f>SUM(B9:M9)</f>
        <v>0</v>
      </c>
    </row>
    <row r="10" spans="1:14" ht="15.75" thickBot="1" x14ac:dyDescent="0.3">
      <c r="A10" s="6" t="s">
        <v>9</v>
      </c>
      <c r="B10" s="27">
        <f>SUM(B3:B9)</f>
        <v>0</v>
      </c>
      <c r="C10" s="27">
        <f t="shared" ref="C10:N10" si="0">SUM(C3:C9)</f>
        <v>0</v>
      </c>
      <c r="D10" s="27">
        <f t="shared" si="0"/>
        <v>0</v>
      </c>
      <c r="E10" s="27">
        <f t="shared" si="0"/>
        <v>0</v>
      </c>
      <c r="F10" s="27">
        <f t="shared" si="0"/>
        <v>8000</v>
      </c>
      <c r="G10" s="27">
        <f t="shared" si="0"/>
        <v>0</v>
      </c>
      <c r="H10" s="27">
        <f t="shared" si="0"/>
        <v>0</v>
      </c>
      <c r="I10" s="27">
        <f t="shared" si="0"/>
        <v>0</v>
      </c>
      <c r="J10" s="27">
        <f t="shared" si="0"/>
        <v>0</v>
      </c>
      <c r="K10" s="27">
        <f t="shared" si="0"/>
        <v>0</v>
      </c>
      <c r="L10" s="27">
        <f t="shared" si="0"/>
        <v>0</v>
      </c>
      <c r="M10" s="27">
        <f t="shared" si="0"/>
        <v>0</v>
      </c>
      <c r="N10" s="27">
        <f t="shared" si="0"/>
        <v>8000</v>
      </c>
    </row>
    <row r="11" spans="1:14" x14ac:dyDescent="0.25">
      <c r="A11" s="8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ht="18.75" x14ac:dyDescent="0.25">
      <c r="A12" s="11" t="s">
        <v>73</v>
      </c>
      <c r="B12" s="12" t="s">
        <v>4</v>
      </c>
      <c r="C12" s="12" t="s">
        <v>5</v>
      </c>
      <c r="D12" s="12" t="s">
        <v>6</v>
      </c>
      <c r="E12" s="12" t="s">
        <v>20</v>
      </c>
      <c r="F12" s="12" t="s">
        <v>21</v>
      </c>
      <c r="G12" s="12" t="s">
        <v>22</v>
      </c>
      <c r="H12" s="12" t="s">
        <v>23</v>
      </c>
      <c r="I12" s="12" t="s">
        <v>24</v>
      </c>
      <c r="J12" s="12" t="s">
        <v>25</v>
      </c>
      <c r="K12" s="12" t="s">
        <v>26</v>
      </c>
      <c r="L12" s="12" t="s">
        <v>27</v>
      </c>
      <c r="M12" s="12" t="s">
        <v>28</v>
      </c>
      <c r="N12" s="13" t="s">
        <v>19</v>
      </c>
    </row>
    <row r="13" spans="1:14" x14ac:dyDescent="0.25">
      <c r="A13" s="14" t="s">
        <v>45</v>
      </c>
      <c r="B13" s="25"/>
      <c r="C13" s="25"/>
      <c r="D13" s="25"/>
      <c r="E13" s="25">
        <f>+'GASTOS PLANIFICADOS'!E13-'GASTOS REALES'!E13</f>
        <v>0</v>
      </c>
      <c r="F13" s="25">
        <f>+'GASTOS PLANIFICADOS'!F13-'GASTOS REALES'!F13</f>
        <v>0</v>
      </c>
      <c r="G13" s="25">
        <f>+'GASTOS PLANIFICADOS'!G13-'GASTOS REALES'!G13</f>
        <v>0</v>
      </c>
      <c r="H13" s="25">
        <f>+'GASTOS PLANIFICADOS'!H13-'GASTOS REALES'!H13</f>
        <v>0</v>
      </c>
      <c r="I13" s="25">
        <f>+'GASTOS PLANIFICADOS'!I13-'GASTOS REALES'!I13</f>
        <v>0</v>
      </c>
      <c r="J13" s="25">
        <f>+'GASTOS PLANIFICADOS'!J13-'GASTOS REALES'!J13</f>
        <v>0</v>
      </c>
      <c r="K13" s="25">
        <f>+'GASTOS PLANIFICADOS'!K13-'GASTOS REALES'!K13</f>
        <v>0</v>
      </c>
      <c r="L13" s="25">
        <f>+'GASTOS PLANIFICADOS'!L13-'GASTOS REALES'!L13</f>
        <v>0</v>
      </c>
      <c r="M13" s="25">
        <f>+'GASTOS PLANIFICADOS'!M13-'GASTOS REALES'!M13</f>
        <v>0</v>
      </c>
      <c r="N13" s="26">
        <f>SUM(B13:M13)</f>
        <v>0</v>
      </c>
    </row>
    <row r="14" spans="1:14" x14ac:dyDescent="0.25">
      <c r="A14" s="14" t="s">
        <v>46</v>
      </c>
      <c r="B14" s="25"/>
      <c r="C14" s="25"/>
      <c r="D14" s="25"/>
      <c r="E14" s="25">
        <f>+'GASTOS PLANIFICADOS'!E14-'GASTOS REALES'!E14</f>
        <v>0</v>
      </c>
      <c r="F14" s="25">
        <f>+'GASTOS PLANIFICADOS'!F14-'GASTOS REALES'!F14</f>
        <v>0</v>
      </c>
      <c r="G14" s="25">
        <f>+'GASTOS PLANIFICADOS'!G14-'GASTOS REALES'!G14</f>
        <v>0</v>
      </c>
      <c r="H14" s="25">
        <f>+'GASTOS PLANIFICADOS'!H14-'GASTOS REALES'!H14</f>
        <v>0</v>
      </c>
      <c r="I14" s="25">
        <f>+'GASTOS PLANIFICADOS'!I14-'GASTOS REALES'!I14</f>
        <v>0</v>
      </c>
      <c r="J14" s="25">
        <f>+'GASTOS PLANIFICADOS'!J14-'GASTOS REALES'!J14</f>
        <v>0</v>
      </c>
      <c r="K14" s="25">
        <f>+'GASTOS PLANIFICADOS'!K14-'GASTOS REALES'!K14</f>
        <v>0</v>
      </c>
      <c r="L14" s="25">
        <f>+'GASTOS PLANIFICADOS'!L14-'GASTOS REALES'!L14</f>
        <v>0</v>
      </c>
      <c r="M14" s="25">
        <f>+'GASTOS PLANIFICADOS'!M14-'GASTOS REALES'!M14</f>
        <v>0</v>
      </c>
      <c r="N14" s="26">
        <f t="shared" ref="N14:N30" si="1">SUM(B14:M14)</f>
        <v>0</v>
      </c>
    </row>
    <row r="15" spans="1:14" x14ac:dyDescent="0.25">
      <c r="A15" s="14" t="s">
        <v>47</v>
      </c>
      <c r="B15" s="25"/>
      <c r="C15" s="25"/>
      <c r="D15" s="25"/>
      <c r="E15" s="25">
        <f>+'GASTOS PLANIFICADOS'!E15-'GASTOS REALES'!E15</f>
        <v>0</v>
      </c>
      <c r="F15" s="25">
        <f>+'GASTOS PLANIFICADOS'!F15-'GASTOS REALES'!F15</f>
        <v>0</v>
      </c>
      <c r="G15" s="25">
        <f>+'GASTOS PLANIFICADOS'!G15-'GASTOS REALES'!G15</f>
        <v>0</v>
      </c>
      <c r="H15" s="25">
        <f>+'GASTOS PLANIFICADOS'!H15-'GASTOS REALES'!H15</f>
        <v>0</v>
      </c>
      <c r="I15" s="25">
        <f>+'GASTOS PLANIFICADOS'!I15-'GASTOS REALES'!I15</f>
        <v>0</v>
      </c>
      <c r="J15" s="25">
        <f>+'GASTOS PLANIFICADOS'!J15-'GASTOS REALES'!J15</f>
        <v>0</v>
      </c>
      <c r="K15" s="25">
        <f>+'GASTOS PLANIFICADOS'!K15-'GASTOS REALES'!K15</f>
        <v>0</v>
      </c>
      <c r="L15" s="25">
        <f>+'GASTOS PLANIFICADOS'!L15-'GASTOS REALES'!L15</f>
        <v>0</v>
      </c>
      <c r="M15" s="25">
        <f>+'GASTOS PLANIFICADOS'!M15-'GASTOS REALES'!M15</f>
        <v>0</v>
      </c>
      <c r="N15" s="26">
        <f t="shared" si="1"/>
        <v>0</v>
      </c>
    </row>
    <row r="16" spans="1:14" x14ac:dyDescent="0.25">
      <c r="A16" s="14" t="s">
        <v>48</v>
      </c>
      <c r="B16" s="25"/>
      <c r="C16" s="25"/>
      <c r="D16" s="25"/>
      <c r="E16" s="25">
        <f>+'GASTOS PLANIFICADOS'!E16-'GASTOS REALES'!E16</f>
        <v>0</v>
      </c>
      <c r="F16" s="25">
        <f>+'GASTOS PLANIFICADOS'!F16-'GASTOS REALES'!F16</f>
        <v>0</v>
      </c>
      <c r="G16" s="25">
        <f>+'GASTOS PLANIFICADOS'!G16-'GASTOS REALES'!G16</f>
        <v>0</v>
      </c>
      <c r="H16" s="25">
        <f>+'GASTOS PLANIFICADOS'!H16-'GASTOS REALES'!H16</f>
        <v>0</v>
      </c>
      <c r="I16" s="25">
        <f>+'GASTOS PLANIFICADOS'!I16-'GASTOS REALES'!I16</f>
        <v>0</v>
      </c>
      <c r="J16" s="25">
        <f>+'GASTOS PLANIFICADOS'!J16-'GASTOS REALES'!J16</f>
        <v>0</v>
      </c>
      <c r="K16" s="25">
        <f>+'GASTOS PLANIFICADOS'!K16-'GASTOS REALES'!K16</f>
        <v>0</v>
      </c>
      <c r="L16" s="25">
        <f>+'GASTOS PLANIFICADOS'!L16-'GASTOS REALES'!L16</f>
        <v>0</v>
      </c>
      <c r="M16" s="25">
        <f>+'GASTOS PLANIFICADOS'!M16-'GASTOS REALES'!M16</f>
        <v>0</v>
      </c>
      <c r="N16" s="26">
        <f t="shared" si="1"/>
        <v>0</v>
      </c>
    </row>
    <row r="17" spans="1:14" x14ac:dyDescent="0.25">
      <c r="A17" s="14" t="s">
        <v>55</v>
      </c>
      <c r="B17" s="25"/>
      <c r="C17" s="25"/>
      <c r="D17" s="25"/>
      <c r="E17" s="25">
        <f>+'GASTOS PLANIFICADOS'!E17-'GASTOS REALES'!E17</f>
        <v>0</v>
      </c>
      <c r="F17" s="25">
        <f>+'GASTOS PLANIFICADOS'!F17-'GASTOS REALES'!F17</f>
        <v>0</v>
      </c>
      <c r="G17" s="25">
        <f>+'GASTOS PLANIFICADOS'!G17-'GASTOS REALES'!G17</f>
        <v>0</v>
      </c>
      <c r="H17" s="25">
        <f>+'GASTOS PLANIFICADOS'!H17-'GASTOS REALES'!H17</f>
        <v>0</v>
      </c>
      <c r="I17" s="25">
        <f>+'GASTOS PLANIFICADOS'!I17-'GASTOS REALES'!I17</f>
        <v>0</v>
      </c>
      <c r="J17" s="25">
        <f>+'GASTOS PLANIFICADOS'!J17-'GASTOS REALES'!J17</f>
        <v>0</v>
      </c>
      <c r="K17" s="25">
        <f>+'GASTOS PLANIFICADOS'!K17-'GASTOS REALES'!K17</f>
        <v>0</v>
      </c>
      <c r="L17" s="25">
        <f>+'GASTOS PLANIFICADOS'!L17-'GASTOS REALES'!L17</f>
        <v>0</v>
      </c>
      <c r="M17" s="25">
        <f>+'GASTOS PLANIFICADOS'!M17-'GASTOS REALES'!M17</f>
        <v>0</v>
      </c>
      <c r="N17" s="26"/>
    </row>
    <row r="18" spans="1:14" x14ac:dyDescent="0.25">
      <c r="A18" s="14" t="s">
        <v>49</v>
      </c>
      <c r="B18" s="25"/>
      <c r="C18" s="25"/>
      <c r="D18" s="25"/>
      <c r="E18" s="25">
        <f>+'GASTOS PLANIFICADOS'!E18-'GASTOS REALES'!E18</f>
        <v>0</v>
      </c>
      <c r="F18" s="25">
        <f>+'GASTOS PLANIFICADOS'!F18-'GASTOS REALES'!F18</f>
        <v>0</v>
      </c>
      <c r="G18" s="25">
        <f>+'GASTOS PLANIFICADOS'!G18-'GASTOS REALES'!G18</f>
        <v>0</v>
      </c>
      <c r="H18" s="25">
        <f>+'GASTOS PLANIFICADOS'!H18-'GASTOS REALES'!H18</f>
        <v>0</v>
      </c>
      <c r="I18" s="25">
        <f>+'GASTOS PLANIFICADOS'!I18-'GASTOS REALES'!I18</f>
        <v>0</v>
      </c>
      <c r="J18" s="25">
        <f>+'GASTOS PLANIFICADOS'!J18-'GASTOS REALES'!J18</f>
        <v>0</v>
      </c>
      <c r="K18" s="25">
        <f>+'GASTOS PLANIFICADOS'!K18-'GASTOS REALES'!K18</f>
        <v>0</v>
      </c>
      <c r="L18" s="25">
        <f>+'GASTOS PLANIFICADOS'!L18-'GASTOS REALES'!L18</f>
        <v>0</v>
      </c>
      <c r="M18" s="25">
        <f>+'GASTOS PLANIFICADOS'!M18-'GASTOS REALES'!M18</f>
        <v>0</v>
      </c>
      <c r="N18" s="26">
        <f t="shared" si="1"/>
        <v>0</v>
      </c>
    </row>
    <row r="19" spans="1:14" x14ac:dyDescent="0.25">
      <c r="A19" s="14" t="s">
        <v>75</v>
      </c>
      <c r="B19" s="25"/>
      <c r="C19" s="25"/>
      <c r="D19" s="25"/>
      <c r="E19" s="25">
        <f>+'GASTOS PLANIFICADOS'!E19-'GASTOS REALES'!E19</f>
        <v>0</v>
      </c>
      <c r="F19" s="25">
        <f>+'GASTOS PLANIFICADOS'!F19-'GASTOS REALES'!F19</f>
        <v>0</v>
      </c>
      <c r="G19" s="25">
        <f>+'GASTOS PLANIFICADOS'!G19-'GASTOS REALES'!G19</f>
        <v>0</v>
      </c>
      <c r="H19" s="25">
        <f>+'GASTOS PLANIFICADOS'!H19-'GASTOS REALES'!H19</f>
        <v>0</v>
      </c>
      <c r="I19" s="25">
        <f>+'GASTOS PLANIFICADOS'!I19-'GASTOS REALES'!I19</f>
        <v>0</v>
      </c>
      <c r="J19" s="25">
        <f>+'GASTOS PLANIFICADOS'!J19-'GASTOS REALES'!J19</f>
        <v>0</v>
      </c>
      <c r="K19" s="25">
        <f>+'GASTOS PLANIFICADOS'!K19-'GASTOS REALES'!K19</f>
        <v>0</v>
      </c>
      <c r="L19" s="25">
        <f>+'GASTOS PLANIFICADOS'!L19-'GASTOS REALES'!L19</f>
        <v>0</v>
      </c>
      <c r="M19" s="25">
        <f>+'GASTOS PLANIFICADOS'!M19-'GASTOS REALES'!M19</f>
        <v>0</v>
      </c>
      <c r="N19" s="26"/>
    </row>
    <row r="20" spans="1:14" x14ac:dyDescent="0.25">
      <c r="A20" s="14" t="s">
        <v>50</v>
      </c>
      <c r="B20" s="25"/>
      <c r="C20" s="25"/>
      <c r="D20" s="25"/>
      <c r="E20" s="25">
        <f>+'GASTOS PLANIFICADOS'!E20-'GASTOS REALES'!E20</f>
        <v>0</v>
      </c>
      <c r="F20" s="25">
        <f>+'GASTOS PLANIFICADOS'!F20-'GASTOS REALES'!F20</f>
        <v>0</v>
      </c>
      <c r="G20" s="25">
        <f>+'GASTOS PLANIFICADOS'!G20-'GASTOS REALES'!G20</f>
        <v>0</v>
      </c>
      <c r="H20" s="25">
        <f>+'GASTOS PLANIFICADOS'!H20-'GASTOS REALES'!H20</f>
        <v>0</v>
      </c>
      <c r="I20" s="25">
        <f>+'GASTOS PLANIFICADOS'!I20-'GASTOS REALES'!I20</f>
        <v>0</v>
      </c>
      <c r="J20" s="25">
        <f>+'GASTOS PLANIFICADOS'!J20-'GASTOS REALES'!J20</f>
        <v>0</v>
      </c>
      <c r="K20" s="25">
        <f>+'GASTOS PLANIFICADOS'!K20-'GASTOS REALES'!K20</f>
        <v>0</v>
      </c>
      <c r="L20" s="25">
        <f>+'GASTOS PLANIFICADOS'!L20-'GASTOS REALES'!L20</f>
        <v>0</v>
      </c>
      <c r="M20" s="25">
        <f>+'GASTOS PLANIFICADOS'!M20-'GASTOS REALES'!M20</f>
        <v>0</v>
      </c>
      <c r="N20" s="26">
        <f t="shared" si="1"/>
        <v>0</v>
      </c>
    </row>
    <row r="21" spans="1:14" ht="15.75" thickBot="1" x14ac:dyDescent="0.3">
      <c r="A21" s="15" t="s">
        <v>9</v>
      </c>
      <c r="B21" s="27">
        <f>SUM(B4:B20)</f>
        <v>0</v>
      </c>
      <c r="C21" s="27">
        <f t="shared" ref="C21:D21" si="2">SUM(C4:C20)</f>
        <v>0</v>
      </c>
      <c r="D21" s="27">
        <f t="shared" si="2"/>
        <v>0</v>
      </c>
      <c r="E21" s="27">
        <f>SUM(E13:E20)</f>
        <v>0</v>
      </c>
      <c r="F21" s="27">
        <f t="shared" ref="F21:M21" si="3">SUM(F13:F20)</f>
        <v>0</v>
      </c>
      <c r="G21" s="27">
        <f t="shared" si="3"/>
        <v>0</v>
      </c>
      <c r="H21" s="27">
        <f t="shared" si="3"/>
        <v>0</v>
      </c>
      <c r="I21" s="27">
        <f t="shared" si="3"/>
        <v>0</v>
      </c>
      <c r="J21" s="27">
        <f t="shared" si="3"/>
        <v>0</v>
      </c>
      <c r="K21" s="27">
        <f t="shared" si="3"/>
        <v>0</v>
      </c>
      <c r="L21" s="27">
        <f t="shared" si="3"/>
        <v>0</v>
      </c>
      <c r="M21" s="27">
        <f t="shared" si="3"/>
        <v>0</v>
      </c>
      <c r="N21" s="26">
        <f t="shared" si="1"/>
        <v>0</v>
      </c>
    </row>
    <row r="22" spans="1:14" ht="18.75" x14ac:dyDescent="0.25">
      <c r="A22" s="11" t="s">
        <v>74</v>
      </c>
      <c r="B22" s="12" t="s">
        <v>4</v>
      </c>
      <c r="C22" s="12" t="s">
        <v>5</v>
      </c>
      <c r="D22" s="12" t="s">
        <v>6</v>
      </c>
      <c r="E22" s="12" t="s">
        <v>20</v>
      </c>
      <c r="F22" s="12" t="s">
        <v>21</v>
      </c>
      <c r="G22" s="12" t="s">
        <v>22</v>
      </c>
      <c r="H22" s="12" t="s">
        <v>23</v>
      </c>
      <c r="I22" s="12" t="s">
        <v>24</v>
      </c>
      <c r="J22" s="12" t="s">
        <v>25</v>
      </c>
      <c r="K22" s="12" t="s">
        <v>26</v>
      </c>
      <c r="L22" s="12" t="s">
        <v>27</v>
      </c>
      <c r="M22" s="12" t="s">
        <v>28</v>
      </c>
      <c r="N22" s="13" t="s">
        <v>19</v>
      </c>
    </row>
    <row r="23" spans="1:14" x14ac:dyDescent="0.25">
      <c r="A23" s="14" t="s">
        <v>45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>
        <f t="shared" si="1"/>
        <v>0</v>
      </c>
    </row>
    <row r="24" spans="1:14" x14ac:dyDescent="0.25">
      <c r="A24" s="14" t="s">
        <v>51</v>
      </c>
      <c r="B24" s="25"/>
      <c r="C24" s="25"/>
      <c r="D24" s="25"/>
      <c r="E24" s="25"/>
      <c r="F24" s="25">
        <v>200</v>
      </c>
      <c r="G24" s="25">
        <v>200</v>
      </c>
      <c r="H24" s="25">
        <v>200</v>
      </c>
      <c r="I24" s="25">
        <v>200</v>
      </c>
      <c r="J24" s="25">
        <v>200</v>
      </c>
      <c r="K24" s="25">
        <v>200</v>
      </c>
      <c r="L24" s="25">
        <v>200</v>
      </c>
      <c r="M24" s="25">
        <v>200</v>
      </c>
      <c r="N24" s="26">
        <f t="shared" si="1"/>
        <v>1600</v>
      </c>
    </row>
    <row r="25" spans="1:14" x14ac:dyDescent="0.25">
      <c r="A25" s="14" t="s">
        <v>52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>
        <f t="shared" si="1"/>
        <v>0</v>
      </c>
    </row>
    <row r="26" spans="1:14" x14ac:dyDescent="0.25">
      <c r="A26" s="14" t="s">
        <v>53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>
        <f t="shared" si="1"/>
        <v>0</v>
      </c>
    </row>
    <row r="27" spans="1:14" x14ac:dyDescent="0.25">
      <c r="A27" s="14" t="s">
        <v>54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>
        <f t="shared" si="1"/>
        <v>0</v>
      </c>
    </row>
    <row r="28" spans="1:14" x14ac:dyDescent="0.25">
      <c r="A28" s="14" t="s">
        <v>49</v>
      </c>
      <c r="B28" s="25"/>
      <c r="C28" s="25"/>
      <c r="D28" s="25"/>
      <c r="E28" s="25"/>
      <c r="F28" s="25">
        <v>600</v>
      </c>
      <c r="G28" s="25">
        <v>600</v>
      </c>
      <c r="H28" s="25">
        <v>600</v>
      </c>
      <c r="I28" s="25">
        <v>600</v>
      </c>
      <c r="J28" s="25">
        <v>600</v>
      </c>
      <c r="K28" s="25">
        <v>600</v>
      </c>
      <c r="L28" s="25">
        <v>600</v>
      </c>
      <c r="M28" s="25">
        <v>600</v>
      </c>
      <c r="N28" s="26">
        <f t="shared" si="1"/>
        <v>4800</v>
      </c>
    </row>
    <row r="29" spans="1:14" x14ac:dyDescent="0.25">
      <c r="A29" s="14" t="s">
        <v>56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>
        <f t="shared" si="1"/>
        <v>0</v>
      </c>
    </row>
    <row r="30" spans="1:14" ht="15.75" thickBot="1" x14ac:dyDescent="0.3">
      <c r="A30" s="15" t="s">
        <v>9</v>
      </c>
      <c r="B30" s="27">
        <f>SUM(B13:B29)</f>
        <v>0</v>
      </c>
      <c r="C30" s="27">
        <f>SUM(C13:C29)</f>
        <v>0</v>
      </c>
      <c r="D30" s="27">
        <f>SUM(D13:D29)</f>
        <v>0</v>
      </c>
      <c r="E30" s="27">
        <f>SUM(E23:E29)</f>
        <v>0</v>
      </c>
      <c r="F30" s="27">
        <f t="shared" ref="F30:M30" si="4">SUM(F23:F29)</f>
        <v>800</v>
      </c>
      <c r="G30" s="27">
        <f t="shared" si="4"/>
        <v>800</v>
      </c>
      <c r="H30" s="27">
        <f t="shared" si="4"/>
        <v>800</v>
      </c>
      <c r="I30" s="27">
        <f t="shared" si="4"/>
        <v>800</v>
      </c>
      <c r="J30" s="27">
        <f t="shared" si="4"/>
        <v>800</v>
      </c>
      <c r="K30" s="27">
        <f t="shared" si="4"/>
        <v>800</v>
      </c>
      <c r="L30" s="27">
        <f t="shared" si="4"/>
        <v>800</v>
      </c>
      <c r="M30" s="27">
        <f t="shared" si="4"/>
        <v>800</v>
      </c>
      <c r="N30" s="26">
        <f t="shared" si="1"/>
        <v>6400</v>
      </c>
    </row>
    <row r="31" spans="1:14" ht="15.75" thickBot="1" x14ac:dyDescent="0.3">
      <c r="A31" s="15" t="s">
        <v>9</v>
      </c>
      <c r="B31" s="27">
        <f>SUM(B14:B30)</f>
        <v>0</v>
      </c>
      <c r="C31" s="27">
        <f t="shared" ref="C31:D31" si="5">SUM(C14:C30)</f>
        <v>0</v>
      </c>
      <c r="D31" s="27">
        <f t="shared" si="5"/>
        <v>0</v>
      </c>
      <c r="E31" s="27">
        <f>+E21+E30</f>
        <v>0</v>
      </c>
      <c r="F31" s="27">
        <f t="shared" ref="F31:M31" si="6">+F21+F30</f>
        <v>800</v>
      </c>
      <c r="G31" s="27">
        <f t="shared" si="6"/>
        <v>800</v>
      </c>
      <c r="H31" s="27">
        <f t="shared" si="6"/>
        <v>800</v>
      </c>
      <c r="I31" s="27">
        <f t="shared" si="6"/>
        <v>800</v>
      </c>
      <c r="J31" s="27">
        <f t="shared" si="6"/>
        <v>800</v>
      </c>
      <c r="K31" s="27">
        <f t="shared" si="6"/>
        <v>800</v>
      </c>
      <c r="L31" s="27">
        <f t="shared" si="6"/>
        <v>800</v>
      </c>
      <c r="M31" s="27">
        <f t="shared" si="6"/>
        <v>800</v>
      </c>
      <c r="N31" s="27">
        <f>+N21+N30</f>
        <v>6400</v>
      </c>
    </row>
    <row r="32" spans="1:14" ht="15.75" thickBot="1" x14ac:dyDescent="0.3">
      <c r="A32" s="16"/>
      <c r="B32" s="16"/>
      <c r="C32" s="9"/>
      <c r="D32" s="9"/>
      <c r="E32" s="17"/>
      <c r="F32" s="17"/>
      <c r="G32" s="17"/>
      <c r="H32" s="17"/>
      <c r="I32" s="17"/>
      <c r="J32" s="17"/>
      <c r="K32" s="17"/>
      <c r="L32" s="17"/>
      <c r="M32" s="17"/>
      <c r="N32" s="10"/>
    </row>
    <row r="33" spans="1:14" ht="18.75" x14ac:dyDescent="0.25">
      <c r="A33" s="18" t="s">
        <v>38</v>
      </c>
      <c r="B33" s="19" t="s">
        <v>4</v>
      </c>
      <c r="C33" s="19" t="s">
        <v>5</v>
      </c>
      <c r="D33" s="19" t="s">
        <v>6</v>
      </c>
      <c r="E33" s="19" t="s">
        <v>20</v>
      </c>
      <c r="F33" s="19" t="s">
        <v>21</v>
      </c>
      <c r="G33" s="19" t="s">
        <v>22</v>
      </c>
      <c r="H33" s="19" t="s">
        <v>23</v>
      </c>
      <c r="I33" s="19" t="s">
        <v>24</v>
      </c>
      <c r="J33" s="19" t="s">
        <v>25</v>
      </c>
      <c r="K33" s="19" t="s">
        <v>26</v>
      </c>
      <c r="L33" s="19" t="s">
        <v>27</v>
      </c>
      <c r="M33" s="19" t="s">
        <v>28</v>
      </c>
      <c r="N33" s="20" t="s">
        <v>19</v>
      </c>
    </row>
    <row r="34" spans="1:14" x14ac:dyDescent="0.25">
      <c r="A34" s="5" t="s">
        <v>57</v>
      </c>
      <c r="B34" s="28"/>
      <c r="C34" s="28"/>
      <c r="D34" s="28"/>
      <c r="E34" s="28"/>
      <c r="F34" s="28">
        <v>500</v>
      </c>
      <c r="G34" s="28">
        <v>500</v>
      </c>
      <c r="H34" s="28">
        <v>500</v>
      </c>
      <c r="I34" s="28">
        <v>500</v>
      </c>
      <c r="J34" s="28">
        <v>500</v>
      </c>
      <c r="K34" s="28">
        <v>500</v>
      </c>
      <c r="L34" s="28">
        <v>500</v>
      </c>
      <c r="M34" s="28">
        <v>500</v>
      </c>
      <c r="N34" s="26">
        <f t="shared" ref="N34:N51" si="7">SUM(B34:M34)</f>
        <v>4000</v>
      </c>
    </row>
    <row r="35" spans="1:14" x14ac:dyDescent="0.25">
      <c r="A35" s="5" t="s">
        <v>58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6"/>
    </row>
    <row r="36" spans="1:14" x14ac:dyDescent="0.25">
      <c r="A36" s="5" t="s">
        <v>59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6"/>
    </row>
    <row r="37" spans="1:14" x14ac:dyDescent="0.25">
      <c r="A37" s="5" t="s">
        <v>60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6"/>
    </row>
    <row r="38" spans="1:14" x14ac:dyDescent="0.25">
      <c r="A38" s="5" t="s">
        <v>61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6"/>
    </row>
    <row r="39" spans="1:14" x14ac:dyDescent="0.25">
      <c r="A39" s="5" t="s">
        <v>62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6"/>
    </row>
    <row r="40" spans="1:14" x14ac:dyDescent="0.25">
      <c r="A40" s="5" t="s">
        <v>29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6"/>
    </row>
    <row r="41" spans="1:14" x14ac:dyDescent="0.25">
      <c r="A41" s="5" t="s">
        <v>63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6"/>
    </row>
    <row r="42" spans="1:14" x14ac:dyDescent="0.25">
      <c r="A42" s="5" t="s">
        <v>64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6"/>
    </row>
    <row r="43" spans="1:14" x14ac:dyDescent="0.25">
      <c r="A43" s="5" t="s">
        <v>65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6"/>
    </row>
    <row r="44" spans="1:14" x14ac:dyDescent="0.25">
      <c r="A44" s="5" t="s">
        <v>66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6"/>
    </row>
    <row r="45" spans="1:14" x14ac:dyDescent="0.25">
      <c r="A45" s="5" t="s">
        <v>67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6"/>
    </row>
    <row r="46" spans="1:14" x14ac:dyDescent="0.25">
      <c r="A46" s="5" t="s">
        <v>68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6"/>
    </row>
    <row r="47" spans="1:14" x14ac:dyDescent="0.25">
      <c r="A47" s="5" t="s">
        <v>69</v>
      </c>
      <c r="B47" s="28"/>
      <c r="C47" s="28"/>
      <c r="D47" s="28"/>
      <c r="E47" s="28"/>
      <c r="F47" s="28">
        <v>200</v>
      </c>
      <c r="G47" s="28">
        <v>1000</v>
      </c>
      <c r="H47" s="28">
        <v>200</v>
      </c>
      <c r="I47" s="28">
        <v>200</v>
      </c>
      <c r="J47" s="28">
        <v>200</v>
      </c>
      <c r="K47" s="28">
        <v>200</v>
      </c>
      <c r="L47" s="28">
        <v>200</v>
      </c>
      <c r="M47" s="28">
        <v>1000</v>
      </c>
      <c r="N47" s="26">
        <f t="shared" si="7"/>
        <v>3200</v>
      </c>
    </row>
    <row r="48" spans="1:14" x14ac:dyDescent="0.25">
      <c r="A48" s="5" t="s">
        <v>70</v>
      </c>
      <c r="B48" s="28"/>
      <c r="C48" s="28"/>
      <c r="D48" s="28"/>
      <c r="E48" s="28"/>
      <c r="F48" s="28">
        <v>0</v>
      </c>
      <c r="G48" s="28">
        <v>0</v>
      </c>
      <c r="H48" s="28">
        <v>5000</v>
      </c>
      <c r="I48" s="28">
        <v>0</v>
      </c>
      <c r="J48" s="28">
        <v>0</v>
      </c>
      <c r="K48" s="28">
        <v>5000</v>
      </c>
      <c r="L48" s="28">
        <v>0</v>
      </c>
      <c r="M48" s="28">
        <v>0</v>
      </c>
      <c r="N48" s="26">
        <f t="shared" si="7"/>
        <v>10000</v>
      </c>
    </row>
    <row r="49" spans="1:14" x14ac:dyDescent="0.25">
      <c r="A49" s="5" t="s">
        <v>71</v>
      </c>
      <c r="B49" s="28"/>
      <c r="C49" s="28"/>
      <c r="D49" s="28"/>
      <c r="E49" s="28"/>
      <c r="F49" s="28">
        <v>200</v>
      </c>
      <c r="G49" s="28">
        <v>200</v>
      </c>
      <c r="H49" s="28">
        <v>200</v>
      </c>
      <c r="I49" s="28">
        <v>200</v>
      </c>
      <c r="J49" s="28">
        <v>200</v>
      </c>
      <c r="K49" s="28">
        <v>200</v>
      </c>
      <c r="L49" s="28">
        <v>200</v>
      </c>
      <c r="M49" s="28">
        <v>200</v>
      </c>
      <c r="N49" s="26">
        <f t="shared" si="7"/>
        <v>1600</v>
      </c>
    </row>
    <row r="50" spans="1:14" x14ac:dyDescent="0.25">
      <c r="A50" s="5" t="s">
        <v>72</v>
      </c>
      <c r="B50" s="28"/>
      <c r="C50" s="28"/>
      <c r="D50" s="28"/>
      <c r="E50" s="28"/>
      <c r="F50" s="28">
        <v>2000</v>
      </c>
      <c r="G50" s="28">
        <v>2000</v>
      </c>
      <c r="H50" s="28">
        <v>2000</v>
      </c>
      <c r="I50" s="28">
        <v>5000</v>
      </c>
      <c r="J50" s="28">
        <v>2000</v>
      </c>
      <c r="K50" s="28">
        <v>2000</v>
      </c>
      <c r="L50" s="28">
        <v>2000</v>
      </c>
      <c r="M50" s="28">
        <v>5000</v>
      </c>
      <c r="N50" s="26">
        <f t="shared" si="7"/>
        <v>22000</v>
      </c>
    </row>
    <row r="51" spans="1:14" x14ac:dyDescent="0.25">
      <c r="A51" s="5"/>
      <c r="B51" s="28"/>
      <c r="C51" s="28"/>
      <c r="D51" s="28"/>
      <c r="E51" s="28"/>
      <c r="F51" s="28">
        <v>200</v>
      </c>
      <c r="G51" s="28">
        <v>200</v>
      </c>
      <c r="H51" s="28">
        <v>200</v>
      </c>
      <c r="I51" s="28">
        <v>200</v>
      </c>
      <c r="J51" s="28">
        <v>200</v>
      </c>
      <c r="K51" s="28">
        <v>200</v>
      </c>
      <c r="L51" s="28">
        <v>200</v>
      </c>
      <c r="M51" s="28">
        <v>200</v>
      </c>
      <c r="N51" s="26">
        <f t="shared" si="7"/>
        <v>1600</v>
      </c>
    </row>
    <row r="52" spans="1:14" ht="15.75" thickBot="1" x14ac:dyDescent="0.3">
      <c r="A52" s="21" t="s">
        <v>9</v>
      </c>
      <c r="B52" s="27">
        <f>SUM(B34:B51)</f>
        <v>0</v>
      </c>
      <c r="C52" s="27">
        <f>SUM(C34:C51)</f>
        <v>0</v>
      </c>
      <c r="D52" s="27">
        <f>SUM(D34:D51)</f>
        <v>0</v>
      </c>
      <c r="E52" s="27">
        <f>SUM(E34:E51)</f>
        <v>0</v>
      </c>
      <c r="F52" s="27">
        <f>SUM(F34:F51)</f>
        <v>3100</v>
      </c>
      <c r="G52" s="27">
        <f>SUM(G34:G51)</f>
        <v>3900</v>
      </c>
      <c r="H52" s="27">
        <f>SUM(H34:H51)</f>
        <v>8100</v>
      </c>
      <c r="I52" s="27">
        <f>SUM(I34:I51)</f>
        <v>6100</v>
      </c>
      <c r="J52" s="27">
        <f>SUM(J34:J51)</f>
        <v>3100</v>
      </c>
      <c r="K52" s="27">
        <f>SUM(K34:K51)</f>
        <v>8100</v>
      </c>
      <c r="L52" s="27">
        <f>SUM(L34:L51)</f>
        <v>3100</v>
      </c>
      <c r="M52" s="27">
        <f>SUM(M34:M51)</f>
        <v>6900</v>
      </c>
      <c r="N52" s="27">
        <f>SUM(N34:N51)</f>
        <v>42400</v>
      </c>
    </row>
    <row r="53" spans="1:14" ht="15.75" thickBot="1" x14ac:dyDescent="0.3">
      <c r="A53" s="8"/>
      <c r="B53" s="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0"/>
    </row>
    <row r="54" spans="1:14" ht="18.75" x14ac:dyDescent="0.25">
      <c r="A54" s="3" t="s">
        <v>39</v>
      </c>
      <c r="B54" s="19" t="s">
        <v>4</v>
      </c>
      <c r="C54" s="19" t="s">
        <v>5</v>
      </c>
      <c r="D54" s="19" t="s">
        <v>6</v>
      </c>
      <c r="E54" s="19" t="s">
        <v>20</v>
      </c>
      <c r="F54" s="19" t="s">
        <v>21</v>
      </c>
      <c r="G54" s="19" t="s">
        <v>22</v>
      </c>
      <c r="H54" s="19" t="s">
        <v>23</v>
      </c>
      <c r="I54" s="19" t="s">
        <v>24</v>
      </c>
      <c r="J54" s="19" t="s">
        <v>25</v>
      </c>
      <c r="K54" s="19" t="s">
        <v>26</v>
      </c>
      <c r="L54" s="19" t="s">
        <v>27</v>
      </c>
      <c r="M54" s="19" t="s">
        <v>28</v>
      </c>
      <c r="N54" s="20" t="s">
        <v>19</v>
      </c>
    </row>
    <row r="55" spans="1:14" x14ac:dyDescent="0.25">
      <c r="A55" s="5" t="s">
        <v>76</v>
      </c>
      <c r="B55" s="28"/>
      <c r="C55" s="28"/>
      <c r="D55" s="28"/>
      <c r="E55" s="28"/>
      <c r="F55" s="28">
        <v>2000</v>
      </c>
      <c r="G55" s="28">
        <v>2000</v>
      </c>
      <c r="H55" s="28">
        <v>2000</v>
      </c>
      <c r="I55" s="28">
        <v>2000</v>
      </c>
      <c r="J55" s="28">
        <v>2000</v>
      </c>
      <c r="K55" s="28">
        <v>2000</v>
      </c>
      <c r="L55" s="28">
        <v>2000</v>
      </c>
      <c r="M55" s="28">
        <v>2000</v>
      </c>
      <c r="N55" s="26">
        <f t="shared" ref="N55:N62" si="8">SUM(B55:M55)</f>
        <v>16000</v>
      </c>
    </row>
    <row r="56" spans="1:14" x14ac:dyDescent="0.25">
      <c r="A56" s="5" t="s">
        <v>30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6"/>
    </row>
    <row r="57" spans="1:14" x14ac:dyDescent="0.25">
      <c r="A57" s="5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6"/>
    </row>
    <row r="58" spans="1:14" x14ac:dyDescent="0.25">
      <c r="A58" s="5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6"/>
    </row>
    <row r="59" spans="1:14" x14ac:dyDescent="0.25">
      <c r="A59" s="5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6"/>
    </row>
    <row r="60" spans="1:14" x14ac:dyDescent="0.25">
      <c r="A60" s="5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6"/>
    </row>
    <row r="61" spans="1:14" x14ac:dyDescent="0.25">
      <c r="A61" s="5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6"/>
    </row>
    <row r="62" spans="1:14" x14ac:dyDescent="0.25">
      <c r="A62" s="5" t="s">
        <v>31</v>
      </c>
      <c r="B62" s="28"/>
      <c r="C62" s="28"/>
      <c r="D62" s="28"/>
      <c r="E62" s="28"/>
      <c r="F62" s="28">
        <v>2000</v>
      </c>
      <c r="G62" s="28">
        <v>2000</v>
      </c>
      <c r="H62" s="28">
        <v>2000</v>
      </c>
      <c r="I62" s="28">
        <v>2000</v>
      </c>
      <c r="J62" s="28">
        <v>2000</v>
      </c>
      <c r="K62" s="28">
        <v>2000</v>
      </c>
      <c r="L62" s="28">
        <v>2000</v>
      </c>
      <c r="M62" s="28">
        <v>2000</v>
      </c>
      <c r="N62" s="26">
        <f t="shared" si="8"/>
        <v>16000</v>
      </c>
    </row>
    <row r="63" spans="1:14" ht="15.75" thickBot="1" x14ac:dyDescent="0.3">
      <c r="A63" s="21" t="s">
        <v>9</v>
      </c>
      <c r="B63" s="27">
        <f>SUM(B55:B62)</f>
        <v>0</v>
      </c>
      <c r="C63" s="27">
        <f t="shared" ref="C63:N63" si="9">SUM(C55:C62)</f>
        <v>0</v>
      </c>
      <c r="D63" s="27">
        <f t="shared" si="9"/>
        <v>0</v>
      </c>
      <c r="E63" s="27">
        <f t="shared" si="9"/>
        <v>0</v>
      </c>
      <c r="F63" s="27">
        <f t="shared" si="9"/>
        <v>4000</v>
      </c>
      <c r="G63" s="27">
        <f t="shared" si="9"/>
        <v>4000</v>
      </c>
      <c r="H63" s="27">
        <f t="shared" si="9"/>
        <v>4000</v>
      </c>
      <c r="I63" s="27">
        <f t="shared" si="9"/>
        <v>4000</v>
      </c>
      <c r="J63" s="27">
        <f t="shared" si="9"/>
        <v>4000</v>
      </c>
      <c r="K63" s="27">
        <f t="shared" si="9"/>
        <v>4000</v>
      </c>
      <c r="L63" s="27">
        <f t="shared" si="9"/>
        <v>4000</v>
      </c>
      <c r="M63" s="27">
        <f t="shared" si="9"/>
        <v>4000</v>
      </c>
      <c r="N63" s="27">
        <f t="shared" si="9"/>
        <v>32000</v>
      </c>
    </row>
    <row r="64" spans="1:14" x14ac:dyDescent="0.25">
      <c r="A64" s="8"/>
      <c r="B64" s="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20.25" thickBot="1" x14ac:dyDescent="0.3">
      <c r="A65" s="22" t="s">
        <v>32</v>
      </c>
      <c r="B65" s="23" t="s">
        <v>4</v>
      </c>
      <c r="C65" s="23" t="s">
        <v>5</v>
      </c>
      <c r="D65" s="23" t="s">
        <v>6</v>
      </c>
      <c r="E65" s="23" t="s">
        <v>20</v>
      </c>
      <c r="F65" s="23" t="s">
        <v>33</v>
      </c>
      <c r="G65" s="23" t="s">
        <v>22</v>
      </c>
      <c r="H65" s="23" t="s">
        <v>23</v>
      </c>
      <c r="I65" s="23" t="s">
        <v>24</v>
      </c>
      <c r="J65" s="23" t="s">
        <v>25</v>
      </c>
      <c r="K65" s="23" t="s">
        <v>26</v>
      </c>
      <c r="L65" s="23" t="s">
        <v>27</v>
      </c>
      <c r="M65" s="23" t="s">
        <v>28</v>
      </c>
      <c r="N65" s="23" t="s">
        <v>34</v>
      </c>
    </row>
    <row r="66" spans="1:14" ht="15.75" thickBot="1" x14ac:dyDescent="0.3">
      <c r="A66" s="24" t="s">
        <v>35</v>
      </c>
      <c r="B66" s="29">
        <f>+B63+B52+B30+B10</f>
        <v>0</v>
      </c>
      <c r="C66" s="29">
        <f>+C63+C52+C30+C10</f>
        <v>0</v>
      </c>
      <c r="D66" s="29">
        <f>+D63+D52+D30+D10</f>
        <v>0</v>
      </c>
      <c r="E66" s="29">
        <f>+E63+E52+E31+E10+E21</f>
        <v>0</v>
      </c>
      <c r="F66" s="29">
        <f t="shared" ref="F66:M66" si="10">+F63+F52+F31+F10+F21</f>
        <v>15900</v>
      </c>
      <c r="G66" s="29">
        <f t="shared" si="10"/>
        <v>8700</v>
      </c>
      <c r="H66" s="29">
        <f t="shared" si="10"/>
        <v>12900</v>
      </c>
      <c r="I66" s="29">
        <f t="shared" si="10"/>
        <v>10900</v>
      </c>
      <c r="J66" s="29">
        <f t="shared" si="10"/>
        <v>7900</v>
      </c>
      <c r="K66" s="29">
        <f t="shared" si="10"/>
        <v>12900</v>
      </c>
      <c r="L66" s="29">
        <f t="shared" si="10"/>
        <v>7900</v>
      </c>
      <c r="M66" s="29">
        <f t="shared" si="10"/>
        <v>11700</v>
      </c>
      <c r="N66" s="29"/>
    </row>
    <row r="67" spans="1:14" x14ac:dyDescent="0.25">
      <c r="A67" s="24" t="s">
        <v>36</v>
      </c>
      <c r="B67" s="29">
        <f>+B66</f>
        <v>0</v>
      </c>
      <c r="C67" s="29">
        <f>+B67+C66</f>
        <v>0</v>
      </c>
      <c r="D67" s="29">
        <f t="shared" ref="D67:N67" si="11">+C67+D66</f>
        <v>0</v>
      </c>
      <c r="E67" s="29">
        <f t="shared" si="11"/>
        <v>0</v>
      </c>
      <c r="F67" s="29">
        <f t="shared" si="11"/>
        <v>15900</v>
      </c>
      <c r="G67" s="29">
        <f t="shared" si="11"/>
        <v>24600</v>
      </c>
      <c r="H67" s="29">
        <f t="shared" si="11"/>
        <v>37500</v>
      </c>
      <c r="I67" s="29">
        <f t="shared" si="11"/>
        <v>48400</v>
      </c>
      <c r="J67" s="29">
        <f t="shared" si="11"/>
        <v>56300</v>
      </c>
      <c r="K67" s="29">
        <f t="shared" si="11"/>
        <v>69200</v>
      </c>
      <c r="L67" s="29">
        <f t="shared" si="11"/>
        <v>77100</v>
      </c>
      <c r="M67" s="29">
        <f t="shared" si="11"/>
        <v>88800</v>
      </c>
      <c r="N67" s="29">
        <f t="shared" si="11"/>
        <v>88800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51F3-CB90-478C-8B24-5BFCDABAFFF8}">
  <dimension ref="A1:E35"/>
  <sheetViews>
    <sheetView tabSelected="1" workbookViewId="0">
      <selection activeCell="C6" sqref="C6"/>
    </sheetView>
  </sheetViews>
  <sheetFormatPr baseColWidth="10" defaultRowHeight="15" x14ac:dyDescent="0.25"/>
  <cols>
    <col min="1" max="1" width="39.42578125" bestFit="1" customWidth="1"/>
    <col min="2" max="2" width="22.28515625" bestFit="1" customWidth="1"/>
    <col min="3" max="3" width="22.28515625" customWidth="1"/>
    <col min="4" max="4" width="29.42578125" customWidth="1"/>
    <col min="5" max="5" width="27.28515625" customWidth="1"/>
  </cols>
  <sheetData>
    <row r="1" spans="1:5" ht="15.75" thickBot="1" x14ac:dyDescent="0.3">
      <c r="A1" s="30" t="s">
        <v>40</v>
      </c>
      <c r="B1" s="31" t="s">
        <v>41</v>
      </c>
      <c r="C1" s="32" t="s">
        <v>42</v>
      </c>
      <c r="D1" s="30" t="s">
        <v>43</v>
      </c>
      <c r="E1" s="33" t="s">
        <v>44</v>
      </c>
    </row>
    <row r="2" spans="1:5" ht="15.75" thickBot="1" x14ac:dyDescent="0.3">
      <c r="A2" s="34" t="str">
        <f>+'GASTOS PLANIFICADOS'!A2</f>
        <v>Centro de Costos de Producción / Operaciones</v>
      </c>
      <c r="B2" s="25">
        <f>+'GASTOS PLANIFICADOS'!N10</f>
        <v>10000</v>
      </c>
      <c r="C2" s="25">
        <f>+'GASTOS REALES'!N10</f>
        <v>6000</v>
      </c>
      <c r="D2" s="25">
        <f>+'DESVIACION DE GASTOS'!N10</f>
        <v>8000</v>
      </c>
      <c r="E2" s="43">
        <f t="shared" ref="E2:E6" si="0">+(C2-B2)/B2</f>
        <v>-0.4</v>
      </c>
    </row>
    <row r="3" spans="1:5" ht="15.75" thickBot="1" x14ac:dyDescent="0.3">
      <c r="A3" s="34" t="str">
        <f>+'GASTOS PLANIFICADOS'!A12</f>
        <v xml:space="preserve">Centro de Costos de Ventas </v>
      </c>
      <c r="B3" s="25">
        <f>+'GASTOS PLANIFICADOS'!N30</f>
        <v>6400</v>
      </c>
      <c r="C3" s="25">
        <f>+'GASTOS REALES'!N31</f>
        <v>92360</v>
      </c>
      <c r="D3" s="25">
        <f>+'DESVIACION DE GASTOS'!N31</f>
        <v>6400</v>
      </c>
      <c r="E3" s="43">
        <f t="shared" si="0"/>
        <v>13.43125</v>
      </c>
    </row>
    <row r="4" spans="1:5" ht="15.75" thickBot="1" x14ac:dyDescent="0.3">
      <c r="A4" s="35" t="str">
        <f>+'GASTOS PLANIFICADOS'!A33</f>
        <v>Centro de Costos Administrativos (Generales)</v>
      </c>
      <c r="B4" s="25">
        <f>+'GASTOS PLANIFICADOS'!N52</f>
        <v>42400</v>
      </c>
      <c r="C4" s="25">
        <f>+'GASTOS REALES'!N52</f>
        <v>42400</v>
      </c>
      <c r="D4" s="25">
        <f>+'DESVIACION DE GASTOS'!N52</f>
        <v>42400</v>
      </c>
      <c r="E4" s="43">
        <f t="shared" si="0"/>
        <v>0</v>
      </c>
    </row>
    <row r="5" spans="1:5" ht="15.75" thickBot="1" x14ac:dyDescent="0.3">
      <c r="A5" s="35" t="str">
        <f>+'GASTOS PLANIFICADOS'!A54</f>
        <v>Centro de Costos de Servicios / Soporte</v>
      </c>
      <c r="B5" s="25">
        <f>+'GASTOS PLANIFICADOS'!N63</f>
        <v>32000</v>
      </c>
      <c r="C5" s="25">
        <f>+'GASTOS PLANIFICADOS'!N63</f>
        <v>32000</v>
      </c>
      <c r="D5" s="25">
        <f>+'DESVIACION DE GASTOS'!N63</f>
        <v>32000</v>
      </c>
      <c r="E5" s="43">
        <f t="shared" si="0"/>
        <v>0</v>
      </c>
    </row>
    <row r="6" spans="1:5" ht="15.75" thickBot="1" x14ac:dyDescent="0.3">
      <c r="A6" s="36" t="s">
        <v>32</v>
      </c>
      <c r="B6" s="25">
        <f>SUM(B2:B5)</f>
        <v>90800</v>
      </c>
      <c r="C6" s="25">
        <f>SUM(C2:C5)</f>
        <v>172760</v>
      </c>
      <c r="D6" s="25">
        <f t="shared" ref="D3:D6" si="1">+B6-C6</f>
        <v>-81960</v>
      </c>
      <c r="E6" s="43">
        <f t="shared" si="0"/>
        <v>0.90264317180616738</v>
      </c>
    </row>
    <row r="7" spans="1:5" x14ac:dyDescent="0.25">
      <c r="A7" s="37"/>
      <c r="B7" s="38"/>
      <c r="C7" s="38"/>
      <c r="D7" s="38"/>
      <c r="E7" s="38"/>
    </row>
    <row r="8" spans="1:5" x14ac:dyDescent="0.25">
      <c r="A8" s="42"/>
      <c r="B8" s="42"/>
      <c r="C8" s="42"/>
      <c r="D8" s="42"/>
      <c r="E8" s="42"/>
    </row>
    <row r="9" spans="1:5" x14ac:dyDescent="0.25">
      <c r="A9" s="39"/>
      <c r="B9" s="40"/>
      <c r="C9" s="40"/>
      <c r="D9" s="40"/>
      <c r="E9" s="40"/>
    </row>
    <row r="10" spans="1:5" x14ac:dyDescent="0.25">
      <c r="A10" s="39"/>
      <c r="B10" s="16"/>
      <c r="C10" s="16"/>
      <c r="D10" s="16"/>
      <c r="E10" s="16"/>
    </row>
    <row r="11" spans="1:5" x14ac:dyDescent="0.25">
      <c r="A11" s="39"/>
      <c r="B11" s="16"/>
      <c r="C11" s="16"/>
      <c r="D11" s="16"/>
      <c r="E11" s="16"/>
    </row>
    <row r="12" spans="1:5" x14ac:dyDescent="0.25">
      <c r="A12" s="39"/>
      <c r="B12" s="16"/>
      <c r="C12" s="16"/>
      <c r="D12" s="16"/>
      <c r="E12" s="16"/>
    </row>
    <row r="13" spans="1:5" x14ac:dyDescent="0.25">
      <c r="A13" s="39"/>
      <c r="B13" s="16"/>
      <c r="C13" s="16"/>
      <c r="D13" s="16"/>
      <c r="E13" s="16"/>
    </row>
    <row r="14" spans="1:5" x14ac:dyDescent="0.25">
      <c r="A14" s="39"/>
      <c r="B14" s="16"/>
      <c r="C14" s="16"/>
      <c r="D14" s="16"/>
      <c r="E14" s="16"/>
    </row>
    <row r="15" spans="1:5" x14ac:dyDescent="0.25">
      <c r="A15" s="16"/>
      <c r="B15" s="16"/>
      <c r="C15" s="16"/>
      <c r="D15" s="16"/>
      <c r="E15" s="16"/>
    </row>
    <row r="16" spans="1:5" x14ac:dyDescent="0.25">
      <c r="A16" s="16"/>
      <c r="B16" s="16"/>
      <c r="C16" s="16"/>
      <c r="D16" s="16"/>
      <c r="E16" s="16"/>
    </row>
    <row r="17" spans="1:5" x14ac:dyDescent="0.25">
      <c r="A17" s="16"/>
      <c r="B17" s="16"/>
      <c r="C17" s="16"/>
      <c r="D17" s="16"/>
      <c r="E17" s="16"/>
    </row>
    <row r="18" spans="1:5" x14ac:dyDescent="0.25">
      <c r="A18" s="39"/>
      <c r="B18" s="16"/>
      <c r="C18" s="16"/>
      <c r="D18" s="16"/>
      <c r="E18" s="16"/>
    </row>
    <row r="19" spans="1:5" x14ac:dyDescent="0.25">
      <c r="A19" s="39"/>
      <c r="B19" s="16"/>
      <c r="C19" s="16"/>
      <c r="D19" s="16"/>
      <c r="E19" s="16"/>
    </row>
    <row r="20" spans="1:5" x14ac:dyDescent="0.25">
      <c r="A20" s="39"/>
      <c r="B20" s="16"/>
      <c r="C20" s="16"/>
      <c r="D20" s="16"/>
      <c r="E20" s="16"/>
    </row>
    <row r="21" spans="1:5" x14ac:dyDescent="0.25">
      <c r="A21" s="39"/>
      <c r="B21" s="16"/>
      <c r="C21" s="16"/>
      <c r="D21" s="16"/>
      <c r="E21" s="16"/>
    </row>
    <row r="22" spans="1:5" x14ac:dyDescent="0.25">
      <c r="A22" s="39"/>
      <c r="B22" s="16"/>
      <c r="C22" s="16"/>
      <c r="D22" s="16"/>
      <c r="E22" s="16"/>
    </row>
    <row r="23" spans="1:5" x14ac:dyDescent="0.25">
      <c r="A23" s="39"/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  <row r="26" spans="1:5" x14ac:dyDescent="0.25">
      <c r="A26" s="16"/>
      <c r="B26" s="16"/>
      <c r="C26" s="16"/>
      <c r="D26" s="16"/>
      <c r="E26" s="16"/>
    </row>
    <row r="27" spans="1:5" x14ac:dyDescent="0.25">
      <c r="A27" s="39"/>
      <c r="B27" s="16"/>
      <c r="C27" s="16"/>
      <c r="D27" s="16"/>
      <c r="E27" s="16"/>
    </row>
    <row r="28" spans="1:5" x14ac:dyDescent="0.25">
      <c r="A28" s="39"/>
      <c r="B28" s="16"/>
      <c r="C28" s="16"/>
      <c r="D28" s="16"/>
      <c r="E28" s="16"/>
    </row>
    <row r="29" spans="1:5" x14ac:dyDescent="0.25">
      <c r="A29" s="16"/>
      <c r="B29" s="16"/>
      <c r="C29" s="16"/>
      <c r="D29" s="16"/>
      <c r="E29" s="16"/>
    </row>
    <row r="30" spans="1:5" x14ac:dyDescent="0.25">
      <c r="A30" s="16"/>
      <c r="B30" s="16"/>
      <c r="C30" s="16"/>
      <c r="D30" s="16"/>
      <c r="E30" s="16"/>
    </row>
    <row r="31" spans="1:5" x14ac:dyDescent="0.25">
      <c r="A31" s="16"/>
      <c r="B31" s="16"/>
      <c r="C31" s="16"/>
      <c r="D31" s="16"/>
      <c r="E31" s="16"/>
    </row>
    <row r="32" spans="1:5" x14ac:dyDescent="0.25">
      <c r="A32" s="41"/>
      <c r="B32" s="16"/>
      <c r="C32" s="16"/>
      <c r="D32" s="16"/>
      <c r="E32" s="16"/>
    </row>
    <row r="33" spans="1:5" x14ac:dyDescent="0.25">
      <c r="A33" s="41"/>
      <c r="B33" s="16"/>
      <c r="C33" s="16"/>
      <c r="D33" s="16"/>
      <c r="E33" s="16"/>
    </row>
    <row r="34" spans="1:5" x14ac:dyDescent="0.25">
      <c r="A34" s="40"/>
      <c r="B34" s="40"/>
      <c r="C34" s="40"/>
      <c r="D34" s="40"/>
      <c r="E34" s="40"/>
    </row>
    <row r="35" spans="1:5" x14ac:dyDescent="0.25">
      <c r="A35" s="40"/>
      <c r="B35" s="40"/>
      <c r="C35" s="40"/>
      <c r="D35" s="40"/>
      <c r="E35" s="40"/>
    </row>
  </sheetData>
  <mergeCells count="1">
    <mergeCell ref="A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GASTOS PLANIFICADOS</vt:lpstr>
      <vt:lpstr>GASTOS REALES</vt:lpstr>
      <vt:lpstr>DESVIACION DE GASTOS</vt:lpstr>
      <vt:lpstr>ANALISIS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Eduardo Pantigoso Palacios</dc:creator>
  <cp:lastModifiedBy>David Eduardo Pantigoso Palacios</cp:lastModifiedBy>
  <dcterms:created xsi:type="dcterms:W3CDTF">2026-05-21T16:43:55Z</dcterms:created>
  <dcterms:modified xsi:type="dcterms:W3CDTF">2026-05-21T19:24:45Z</dcterms:modified>
</cp:coreProperties>
</file>